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fzal\OneDrive\Desktop\"/>
    </mc:Choice>
  </mc:AlternateContent>
  <xr:revisionPtr revIDLastSave="0" documentId="13_ncr:1_{71EA00CC-AFD5-42B7-86BF-79F5A365654E}" xr6:coauthVersionLast="47" xr6:coauthVersionMax="47" xr10:uidLastSave="{00000000-0000-0000-0000-000000000000}"/>
  <bookViews>
    <workbookView xWindow="-120" yWindow="-120" windowWidth="29040" windowHeight="15720" firstSheet="1" activeTab="6" xr2:uid="{00000000-000D-0000-FFFF-FFFF00000000}"/>
  </bookViews>
  <sheets>
    <sheet name="Sheet1" sheetId="6" r:id="rId1"/>
    <sheet name="Cleaned_Data" sheetId="1" r:id="rId2"/>
    <sheet name="Pivot_Region" sheetId="2" r:id="rId3"/>
    <sheet name="Pivot_Category" sheetId="3" r:id="rId4"/>
    <sheet name="Pivot_Category_Region" sheetId="4" r:id="rId5"/>
    <sheet name="Pivot_Salesperson" sheetId="5" r:id="rId6"/>
    <sheet name="DASHBOARD" sheetId="7" r:id="rId7"/>
  </sheets>
  <definedNames>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2" i="1"/>
</calcChain>
</file>

<file path=xl/sharedStrings.xml><?xml version="1.0" encoding="utf-8"?>
<sst xmlns="http://schemas.openxmlformats.org/spreadsheetml/2006/main" count="300" uniqueCount="59">
  <si>
    <t>Order ID</t>
  </si>
  <si>
    <t>Date</t>
  </si>
  <si>
    <t>Region</t>
  </si>
  <si>
    <t>Salesperson</t>
  </si>
  <si>
    <t>Category</t>
  </si>
  <si>
    <t>Product</t>
  </si>
  <si>
    <t>Quantity</t>
  </si>
  <si>
    <t>Unit Price</t>
  </si>
  <si>
    <t>Total Sales</t>
  </si>
  <si>
    <t>North</t>
  </si>
  <si>
    <t>Ali</t>
  </si>
  <si>
    <t>Electronics</t>
  </si>
  <si>
    <t>Mouse</t>
  </si>
  <si>
    <t>South</t>
  </si>
  <si>
    <t>Sara</t>
  </si>
  <si>
    <t>Clothing</t>
  </si>
  <si>
    <t>Jacket</t>
  </si>
  <si>
    <t>West</t>
  </si>
  <si>
    <t>Ahmed</t>
  </si>
  <si>
    <t>Keyboard</t>
  </si>
  <si>
    <t>East</t>
  </si>
  <si>
    <t>Fatima</t>
  </si>
  <si>
    <t>Groceries</t>
  </si>
  <si>
    <t>Rice</t>
  </si>
  <si>
    <t>Bilal</t>
  </si>
  <si>
    <t>Headphones</t>
  </si>
  <si>
    <t>Ayesha</t>
  </si>
  <si>
    <t>Shoes</t>
  </si>
  <si>
    <t>Usman</t>
  </si>
  <si>
    <t>Oil</t>
  </si>
  <si>
    <t>Zainab</t>
  </si>
  <si>
    <t>Speaker</t>
  </si>
  <si>
    <t>T-Shirt</t>
  </si>
  <si>
    <t>Sugar</t>
  </si>
  <si>
    <t>Monitor</t>
  </si>
  <si>
    <t>Jeans</t>
  </si>
  <si>
    <t>Flour</t>
  </si>
  <si>
    <t>Rice Bag</t>
  </si>
  <si>
    <t>Tea</t>
  </si>
  <si>
    <t>Hoodie</t>
  </si>
  <si>
    <t>Laptop</t>
  </si>
  <si>
    <t>Cap</t>
  </si>
  <si>
    <t>Printer</t>
  </si>
  <si>
    <t>Tablet</t>
  </si>
  <si>
    <t>Socks</t>
  </si>
  <si>
    <t>Camera</t>
  </si>
  <si>
    <t>Sum of Total Sales</t>
  </si>
  <si>
    <t>Sum of Quantity</t>
  </si>
  <si>
    <t>Region (trim)</t>
  </si>
  <si>
    <t>Row Labels</t>
  </si>
  <si>
    <t>Grand Total</t>
  </si>
  <si>
    <t>Count of Product</t>
  </si>
  <si>
    <t>Count of Region (trim)</t>
  </si>
  <si>
    <t>Sum of Unit Price</t>
  </si>
  <si>
    <t>west</t>
  </si>
  <si>
    <t>north</t>
  </si>
  <si>
    <t>SOUTH</t>
  </si>
  <si>
    <t>east</t>
  </si>
  <si>
    <t>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</si>
</sst>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font>
  </fonts>
  <fills count="3">
    <fill>
      <patternFill patternType="none"/>
    </fill>
    <fill>
      <patternFill patternType="gray125"/>
    </fill>
    <fill>
      <patternFill patternType="solid">
        <fgColor theme="4"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4" fontId="0" fillId="0" borderId="0" xfId="0" applyNumberFormat="1"/>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0" fontId="2"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2" borderId="0" xfId="0" applyFill="1" applyAlignment="1">
      <alignment horizontal="center"/>
    </xf>
    <xf numFmtId="0" fontId="0" fillId="0" borderId="0" xfId="0" applyNumberFormat="1"/>
  </cellXfs>
  <cellStyles count="1">
    <cellStyle name="Normal" xfId="0" builtinId="0"/>
  </cellStyles>
  <dxfs count="4">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(1).xlsx]Sheet1!PivotTable1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Total Sales</c:v>
                </c:pt>
              </c:strCache>
            </c:strRef>
          </c:tx>
          <c:spPr>
            <a:solidFill>
              <a:schemeClr val="accent1"/>
            </a:solidFill>
            <a:ln>
              <a:noFill/>
            </a:ln>
            <a:effectLst/>
          </c:spPr>
          <c:invertIfNegative val="0"/>
          <c:cat>
            <c:strRef>
              <c:f>Sheet1!$A$4:$A$8</c:f>
              <c:strCache>
                <c:ptCount val="4"/>
                <c:pt idx="0">
                  <c:v>East</c:v>
                </c:pt>
                <c:pt idx="1">
                  <c:v>North</c:v>
                </c:pt>
                <c:pt idx="2">
                  <c:v>South</c:v>
                </c:pt>
                <c:pt idx="3">
                  <c:v>West</c:v>
                </c:pt>
              </c:strCache>
            </c:strRef>
          </c:cat>
          <c:val>
            <c:numRef>
              <c:f>Sheet1!$B$4:$B$8</c:f>
              <c:numCache>
                <c:formatCode>General</c:formatCode>
                <c:ptCount val="4"/>
                <c:pt idx="0">
                  <c:v>219100</c:v>
                </c:pt>
                <c:pt idx="1">
                  <c:v>321500</c:v>
                </c:pt>
                <c:pt idx="2">
                  <c:v>193000</c:v>
                </c:pt>
                <c:pt idx="3">
                  <c:v>274400</c:v>
                </c:pt>
              </c:numCache>
            </c:numRef>
          </c:val>
          <c:extLst>
            <c:ext xmlns:c16="http://schemas.microsoft.com/office/drawing/2014/chart" uri="{C3380CC4-5D6E-409C-BE32-E72D297353CC}">
              <c16:uniqueId val="{00000000-97E8-4980-966F-30DEE3EB22DA}"/>
            </c:ext>
          </c:extLst>
        </c:ser>
        <c:ser>
          <c:idx val="1"/>
          <c:order val="1"/>
          <c:tx>
            <c:strRef>
              <c:f>Sheet1!$C$3</c:f>
              <c:strCache>
                <c:ptCount val="1"/>
                <c:pt idx="0">
                  <c:v>Sum of Quantity</c:v>
                </c:pt>
              </c:strCache>
            </c:strRef>
          </c:tx>
          <c:spPr>
            <a:solidFill>
              <a:schemeClr val="accent2"/>
            </a:solidFill>
            <a:ln>
              <a:noFill/>
            </a:ln>
            <a:effectLst/>
          </c:spPr>
          <c:invertIfNegative val="0"/>
          <c:cat>
            <c:strRef>
              <c:f>Sheet1!$A$4:$A$8</c:f>
              <c:strCache>
                <c:ptCount val="4"/>
                <c:pt idx="0">
                  <c:v>East</c:v>
                </c:pt>
                <c:pt idx="1">
                  <c:v>North</c:v>
                </c:pt>
                <c:pt idx="2">
                  <c:v>South</c:v>
                </c:pt>
                <c:pt idx="3">
                  <c:v>West</c:v>
                </c:pt>
              </c:strCache>
            </c:strRef>
          </c:cat>
          <c:val>
            <c:numRef>
              <c:f>Sheet1!$C$4:$C$8</c:f>
              <c:numCache>
                <c:formatCode>General</c:formatCode>
                <c:ptCount val="4"/>
                <c:pt idx="0">
                  <c:v>55</c:v>
                </c:pt>
                <c:pt idx="1">
                  <c:v>89</c:v>
                </c:pt>
                <c:pt idx="2">
                  <c:v>65</c:v>
                </c:pt>
                <c:pt idx="3">
                  <c:v>49</c:v>
                </c:pt>
              </c:numCache>
            </c:numRef>
          </c:val>
          <c:extLst>
            <c:ext xmlns:c16="http://schemas.microsoft.com/office/drawing/2014/chart" uri="{C3380CC4-5D6E-409C-BE32-E72D297353CC}">
              <c16:uniqueId val="{00000001-97E8-4980-966F-30DEE3EB22DA}"/>
            </c:ext>
          </c:extLst>
        </c:ser>
        <c:dLbls>
          <c:showLegendKey val="0"/>
          <c:showVal val="0"/>
          <c:showCatName val="0"/>
          <c:showSerName val="0"/>
          <c:showPercent val="0"/>
          <c:showBubbleSize val="0"/>
        </c:dLbls>
        <c:gapWidth val="219"/>
        <c:overlap val="-27"/>
        <c:axId val="279438879"/>
        <c:axId val="279455679"/>
      </c:barChart>
      <c:catAx>
        <c:axId val="27943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455679"/>
        <c:crosses val="autoZero"/>
        <c:auto val="1"/>
        <c:lblAlgn val="ctr"/>
        <c:lblOffset val="100"/>
        <c:noMultiLvlLbl val="0"/>
      </c:catAx>
      <c:valAx>
        <c:axId val="27945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43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(1).xlsx]Pivot_Category!PivotTable3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Pivot_Category!$B$9</c:f>
              <c:strCache>
                <c:ptCount val="1"/>
                <c:pt idx="0">
                  <c:v>Total</c:v>
                </c:pt>
              </c:strCache>
            </c:strRef>
          </c:tx>
          <c:spPr>
            <a:solidFill>
              <a:schemeClr val="accent1"/>
            </a:solidFill>
            <a:ln>
              <a:noFill/>
            </a:ln>
            <a:effectLst/>
          </c:spPr>
          <c:invertIfNegative val="0"/>
          <c:cat>
            <c:strRef>
              <c:f>Pivot_Category!$A$10:$A$13</c:f>
              <c:strCache>
                <c:ptCount val="3"/>
                <c:pt idx="0">
                  <c:v>Clothing</c:v>
                </c:pt>
                <c:pt idx="1">
                  <c:v>Electronics</c:v>
                </c:pt>
                <c:pt idx="2">
                  <c:v>Groceries</c:v>
                </c:pt>
              </c:strCache>
            </c:strRef>
          </c:cat>
          <c:val>
            <c:numRef>
              <c:f>Pivot_Category!$B$10:$B$13</c:f>
              <c:numCache>
                <c:formatCode>General</c:formatCode>
                <c:ptCount val="3"/>
                <c:pt idx="0">
                  <c:v>17</c:v>
                </c:pt>
                <c:pt idx="1">
                  <c:v>19</c:v>
                </c:pt>
                <c:pt idx="2">
                  <c:v>14</c:v>
                </c:pt>
              </c:numCache>
            </c:numRef>
          </c:val>
          <c:extLst>
            <c:ext xmlns:c16="http://schemas.microsoft.com/office/drawing/2014/chart" uri="{C3380CC4-5D6E-409C-BE32-E72D297353CC}">
              <c16:uniqueId val="{00000000-7E40-43D2-95AC-7819AC560EF3}"/>
            </c:ext>
          </c:extLst>
        </c:ser>
        <c:dLbls>
          <c:showLegendKey val="0"/>
          <c:showVal val="0"/>
          <c:showCatName val="0"/>
          <c:showSerName val="0"/>
          <c:showPercent val="0"/>
          <c:showBubbleSize val="0"/>
        </c:dLbls>
        <c:gapWidth val="182"/>
        <c:axId val="279349119"/>
        <c:axId val="279355359"/>
      </c:barChart>
      <c:catAx>
        <c:axId val="27934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355359"/>
        <c:crosses val="autoZero"/>
        <c:auto val="1"/>
        <c:lblAlgn val="ctr"/>
        <c:lblOffset val="100"/>
        <c:noMultiLvlLbl val="0"/>
      </c:catAx>
      <c:valAx>
        <c:axId val="279355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34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(1).xlsx]Pivot_Category_Region!PivotTable4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Pivot_Category_Region!$G$27</c:f>
              <c:strCache>
                <c:ptCount val="1"/>
                <c:pt idx="0">
                  <c:v>Count of Region (trim)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FE-4467-BF67-CBA12390D3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FE-4467-BF67-CBA12390D3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FE-4467-BF67-CBA12390D3E6}"/>
              </c:ext>
            </c:extLst>
          </c:dPt>
          <c:cat>
            <c:strRef>
              <c:f>Pivot_Category_Region!$F$28:$F$31</c:f>
              <c:strCache>
                <c:ptCount val="3"/>
                <c:pt idx="0">
                  <c:v>Clothing</c:v>
                </c:pt>
                <c:pt idx="1">
                  <c:v>Electronics</c:v>
                </c:pt>
                <c:pt idx="2">
                  <c:v>Groceries</c:v>
                </c:pt>
              </c:strCache>
            </c:strRef>
          </c:cat>
          <c:val>
            <c:numRef>
              <c:f>Pivot_Category_Region!$G$28:$G$31</c:f>
              <c:numCache>
                <c:formatCode>General</c:formatCode>
                <c:ptCount val="3"/>
                <c:pt idx="0">
                  <c:v>17</c:v>
                </c:pt>
                <c:pt idx="1">
                  <c:v>19</c:v>
                </c:pt>
                <c:pt idx="2">
                  <c:v>14</c:v>
                </c:pt>
              </c:numCache>
            </c:numRef>
          </c:val>
          <c:extLst>
            <c:ext xmlns:c16="http://schemas.microsoft.com/office/drawing/2014/chart" uri="{C3380CC4-5D6E-409C-BE32-E72D297353CC}">
              <c16:uniqueId val="{00000000-AABE-46BC-8437-420B8E6856B0}"/>
            </c:ext>
          </c:extLst>
        </c:ser>
        <c:ser>
          <c:idx val="1"/>
          <c:order val="1"/>
          <c:tx>
            <c:strRef>
              <c:f>Pivot_Category_Region!$H$27</c:f>
              <c:strCache>
                <c:ptCount val="1"/>
                <c:pt idx="0">
                  <c:v>Sum of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F7FE-4467-BF67-CBA12390D3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F7FE-4467-BF67-CBA12390D3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F7FE-4467-BF67-CBA12390D3E6}"/>
              </c:ext>
            </c:extLst>
          </c:dPt>
          <c:cat>
            <c:strRef>
              <c:f>Pivot_Category_Region!$F$28:$F$31</c:f>
              <c:strCache>
                <c:ptCount val="3"/>
                <c:pt idx="0">
                  <c:v>Clothing</c:v>
                </c:pt>
                <c:pt idx="1">
                  <c:v>Electronics</c:v>
                </c:pt>
                <c:pt idx="2">
                  <c:v>Groceries</c:v>
                </c:pt>
              </c:strCache>
            </c:strRef>
          </c:cat>
          <c:val>
            <c:numRef>
              <c:f>Pivot_Category_Region!$H$28:$H$31</c:f>
              <c:numCache>
                <c:formatCode>General</c:formatCode>
                <c:ptCount val="3"/>
                <c:pt idx="0">
                  <c:v>205800</c:v>
                </c:pt>
                <c:pt idx="1">
                  <c:v>612300</c:v>
                </c:pt>
                <c:pt idx="2">
                  <c:v>189900</c:v>
                </c:pt>
              </c:numCache>
            </c:numRef>
          </c:val>
          <c:extLst>
            <c:ext xmlns:c16="http://schemas.microsoft.com/office/drawing/2014/chart" uri="{C3380CC4-5D6E-409C-BE32-E72D297353CC}">
              <c16:uniqueId val="{00000001-AABE-46BC-8437-420B8E6856B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(1).xlsx]Pivot_Salesperson!PivotTable5</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Pivot_Salesperson!$C$15</c:f>
              <c:strCache>
                <c:ptCount val="1"/>
                <c:pt idx="0">
                  <c:v>Sum of Quantity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Pivot_Salesperson!$B$16:$B$24</c:f>
              <c:strCache>
                <c:ptCount val="8"/>
                <c:pt idx="0">
                  <c:v>Ahmed</c:v>
                </c:pt>
                <c:pt idx="1">
                  <c:v>Ali</c:v>
                </c:pt>
                <c:pt idx="2">
                  <c:v>Ayesha</c:v>
                </c:pt>
                <c:pt idx="3">
                  <c:v>Bilal</c:v>
                </c:pt>
                <c:pt idx="4">
                  <c:v>Fatima</c:v>
                </c:pt>
                <c:pt idx="5">
                  <c:v>Sara</c:v>
                </c:pt>
                <c:pt idx="6">
                  <c:v>Usman</c:v>
                </c:pt>
                <c:pt idx="7">
                  <c:v>Zainab</c:v>
                </c:pt>
              </c:strCache>
            </c:strRef>
          </c:cat>
          <c:val>
            <c:numRef>
              <c:f>Pivot_Salesperson!$C$16:$C$24</c:f>
              <c:numCache>
                <c:formatCode>General</c:formatCode>
                <c:ptCount val="8"/>
                <c:pt idx="0">
                  <c:v>42</c:v>
                </c:pt>
                <c:pt idx="1">
                  <c:v>37</c:v>
                </c:pt>
                <c:pt idx="2">
                  <c:v>44</c:v>
                </c:pt>
                <c:pt idx="3">
                  <c:v>41</c:v>
                </c:pt>
                <c:pt idx="4">
                  <c:v>28</c:v>
                </c:pt>
                <c:pt idx="5">
                  <c:v>27</c:v>
                </c:pt>
                <c:pt idx="6">
                  <c:v>23</c:v>
                </c:pt>
                <c:pt idx="7">
                  <c:v>16</c:v>
                </c:pt>
              </c:numCache>
            </c:numRef>
          </c:val>
          <c:extLst>
            <c:ext xmlns:c16="http://schemas.microsoft.com/office/drawing/2014/chart" uri="{C3380CC4-5D6E-409C-BE32-E72D297353CC}">
              <c16:uniqueId val="{00000000-86DD-485D-AA24-D0F70815859E}"/>
            </c:ext>
          </c:extLst>
        </c:ser>
        <c:ser>
          <c:idx val="1"/>
          <c:order val="1"/>
          <c:tx>
            <c:strRef>
              <c:f>Pivot_Salesperson!$D$15</c:f>
              <c:strCache>
                <c:ptCount val="1"/>
                <c:pt idx="0">
                  <c:v>Sum of Total Sales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Pivot_Salesperson!$B$16:$B$24</c:f>
              <c:strCache>
                <c:ptCount val="8"/>
                <c:pt idx="0">
                  <c:v>Ahmed</c:v>
                </c:pt>
                <c:pt idx="1">
                  <c:v>Ali</c:v>
                </c:pt>
                <c:pt idx="2">
                  <c:v>Ayesha</c:v>
                </c:pt>
                <c:pt idx="3">
                  <c:v>Bilal</c:v>
                </c:pt>
                <c:pt idx="4">
                  <c:v>Fatima</c:v>
                </c:pt>
                <c:pt idx="5">
                  <c:v>Sara</c:v>
                </c:pt>
                <c:pt idx="6">
                  <c:v>Usman</c:v>
                </c:pt>
                <c:pt idx="7">
                  <c:v>Zainab</c:v>
                </c:pt>
              </c:strCache>
            </c:strRef>
          </c:cat>
          <c:val>
            <c:numRef>
              <c:f>Pivot_Salesperson!$D$16:$D$24</c:f>
              <c:numCache>
                <c:formatCode>General</c:formatCode>
                <c:ptCount val="8"/>
                <c:pt idx="0">
                  <c:v>121000</c:v>
                </c:pt>
                <c:pt idx="1">
                  <c:v>65600</c:v>
                </c:pt>
                <c:pt idx="2">
                  <c:v>74300</c:v>
                </c:pt>
                <c:pt idx="3">
                  <c:v>94900</c:v>
                </c:pt>
                <c:pt idx="4">
                  <c:v>144300</c:v>
                </c:pt>
                <c:pt idx="5">
                  <c:v>112400</c:v>
                </c:pt>
                <c:pt idx="6">
                  <c:v>96900</c:v>
                </c:pt>
                <c:pt idx="7">
                  <c:v>298600</c:v>
                </c:pt>
              </c:numCache>
            </c:numRef>
          </c:val>
          <c:extLst>
            <c:ext xmlns:c16="http://schemas.microsoft.com/office/drawing/2014/chart" uri="{C3380CC4-5D6E-409C-BE32-E72D297353CC}">
              <c16:uniqueId val="{00000001-86DD-485D-AA24-D0F70815859E}"/>
            </c:ext>
          </c:extLst>
        </c:ser>
        <c:dLbls>
          <c:showLegendKey val="0"/>
          <c:showVal val="0"/>
          <c:showCatName val="0"/>
          <c:showSerName val="0"/>
          <c:showPercent val="0"/>
          <c:showBubbleSize val="0"/>
        </c:dLbls>
        <c:gapWidth val="219"/>
        <c:overlap val="-27"/>
        <c:axId val="279469599"/>
        <c:axId val="279470079"/>
      </c:barChart>
      <c:lineChart>
        <c:grouping val="standard"/>
        <c:varyColors val="0"/>
        <c:ser>
          <c:idx val="2"/>
          <c:order val="2"/>
          <c:tx>
            <c:strRef>
              <c:f>Pivot_Salesperson!$E$15</c:f>
              <c:strCache>
                <c:ptCount val="1"/>
                <c:pt idx="0">
                  <c:v>Sum of Unit Price</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Pivot_Salesperson!$B$16:$B$24</c:f>
              <c:strCache>
                <c:ptCount val="8"/>
                <c:pt idx="0">
                  <c:v>Ahmed</c:v>
                </c:pt>
                <c:pt idx="1">
                  <c:v>Ali</c:v>
                </c:pt>
                <c:pt idx="2">
                  <c:v>Ayesha</c:v>
                </c:pt>
                <c:pt idx="3">
                  <c:v>Bilal</c:v>
                </c:pt>
                <c:pt idx="4">
                  <c:v>Fatima</c:v>
                </c:pt>
                <c:pt idx="5">
                  <c:v>Sara</c:v>
                </c:pt>
                <c:pt idx="6">
                  <c:v>Usman</c:v>
                </c:pt>
                <c:pt idx="7">
                  <c:v>Zainab</c:v>
                </c:pt>
              </c:strCache>
            </c:strRef>
          </c:cat>
          <c:val>
            <c:numRef>
              <c:f>Pivot_Salesperson!$E$16:$E$24</c:f>
              <c:numCache>
                <c:formatCode>General</c:formatCode>
                <c:ptCount val="8"/>
                <c:pt idx="0">
                  <c:v>31200</c:v>
                </c:pt>
                <c:pt idx="1">
                  <c:v>10900</c:v>
                </c:pt>
                <c:pt idx="2">
                  <c:v>15200</c:v>
                </c:pt>
                <c:pt idx="3">
                  <c:v>34300</c:v>
                </c:pt>
                <c:pt idx="4">
                  <c:v>69500</c:v>
                </c:pt>
                <c:pt idx="5">
                  <c:v>39400</c:v>
                </c:pt>
                <c:pt idx="6">
                  <c:v>28300</c:v>
                </c:pt>
                <c:pt idx="7">
                  <c:v>179900</c:v>
                </c:pt>
              </c:numCache>
            </c:numRef>
          </c:val>
          <c:smooth val="0"/>
          <c:extLst>
            <c:ext xmlns:c16="http://schemas.microsoft.com/office/drawing/2014/chart" uri="{C3380CC4-5D6E-409C-BE32-E72D297353CC}">
              <c16:uniqueId val="{00000002-86DD-485D-AA24-D0F70815859E}"/>
            </c:ext>
          </c:extLst>
        </c:ser>
        <c:dLbls>
          <c:showLegendKey val="0"/>
          <c:showVal val="0"/>
          <c:showCatName val="0"/>
          <c:showSerName val="0"/>
          <c:showPercent val="0"/>
          <c:showBubbleSize val="0"/>
        </c:dLbls>
        <c:marker val="1"/>
        <c:smooth val="0"/>
        <c:axId val="279469599"/>
        <c:axId val="279470079"/>
      </c:lineChart>
      <c:catAx>
        <c:axId val="2794695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79470079"/>
        <c:crosses val="autoZero"/>
        <c:auto val="1"/>
        <c:lblAlgn val="ctr"/>
        <c:lblOffset val="100"/>
        <c:noMultiLvlLbl val="0"/>
      </c:catAx>
      <c:valAx>
        <c:axId val="27947007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7946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800" b="1">
                <a:solidFill>
                  <a:schemeClr val="tx1"/>
                </a:solidFill>
                <a:latin typeface="Times New Roman" panose="02020603050405020304" pitchFamily="18" charset="0"/>
                <a:cs typeface="Times New Roman" panose="02020603050405020304" pitchFamily="18" charset="0"/>
              </a:rPr>
              <a:t>Distribution</a:t>
            </a:r>
            <a:r>
              <a:rPr lang="en-US" sz="1800" b="1" baseline="0">
                <a:solidFill>
                  <a:schemeClr val="tx1"/>
                </a:solidFill>
                <a:latin typeface="Times New Roman" panose="02020603050405020304" pitchFamily="18" charset="0"/>
                <a:cs typeface="Times New Roman" panose="02020603050405020304" pitchFamily="18" charset="0"/>
              </a:rPr>
              <a:t> by Fuel Type</a:t>
            </a:r>
            <a:endParaRPr lang="en-US" sz="18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15828885866480727"/>
          <c:y val="0.16305448891611113"/>
          <c:w val="0.61210606220305175"/>
          <c:h val="0.83694551108388893"/>
        </c:manualLayout>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9220744012388722"/>
          <c:y val="0.19527689282502328"/>
          <c:w val="0.20236877604799278"/>
          <c:h val="0.2010260017119642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626730064"/>
        <c:axId val="626746864"/>
      </c:barChart>
      <c:catAx>
        <c:axId val="626730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arrow" panose="020B0606020202030204" pitchFamily="34" charset="0"/>
                <a:ea typeface="+mn-ea"/>
                <a:cs typeface="+mn-cs"/>
              </a:defRPr>
            </a:pPr>
            <a:endParaRPr lang="en-US"/>
          </a:p>
        </c:txPr>
        <c:crossAx val="626746864"/>
        <c:crosses val="autoZero"/>
        <c:auto val="1"/>
        <c:lblAlgn val="ctr"/>
        <c:lblOffset val="100"/>
        <c:noMultiLvlLbl val="0"/>
      </c:catAx>
      <c:valAx>
        <c:axId val="626746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267300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Distribution</a:t>
            </a:r>
            <a:r>
              <a:rPr lang="en-US" b="1" baseline="0">
                <a:solidFill>
                  <a:sysClr val="windowText" lastClr="000000"/>
                </a:solidFill>
                <a:latin typeface="Times New Roman" panose="02020603050405020304" pitchFamily="18" charset="0"/>
                <a:cs typeface="Times New Roman" panose="02020603050405020304" pitchFamily="18" charset="0"/>
              </a:rPr>
              <a:t> by Aspiration</a:t>
            </a:r>
            <a:endParaRPr lang="en-US"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0.20663018556448898"/>
          <c:y val="0.85297782378191123"/>
          <c:w val="0.57897435113570361"/>
          <c:h val="0.1079498082445773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400" b="1" i="0" u="none" strike="noStrike" kern="1200" spc="0" baseline="0">
                <a:solidFill>
                  <a:sysClr val="windowText" lastClr="000000"/>
                </a:solidFill>
                <a:latin typeface="Times New Roman" panose="02020603050405020304" pitchFamily="18" charset="0"/>
                <a:cs typeface="Times New Roman" panose="02020603050405020304" pitchFamily="18" charset="0"/>
              </a:rPr>
              <a:t>Distribution by Engine Location</a:t>
            </a:r>
          </a:p>
        </c:rich>
      </c:tx>
      <c:layout>
        <c:manualLayout>
          <c:xMode val="edge"/>
          <c:yMode val="edge"/>
          <c:x val="0.13387140434667621"/>
          <c:y val="7.80522314880319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dLbls>
          <c:dLblPos val="bestFit"/>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i="0" u="none" strike="noStrike" kern="1200" spc="0" baseline="0">
                <a:solidFill>
                  <a:sysClr val="windowText" lastClr="000000"/>
                </a:solidFill>
                <a:latin typeface="Times New Roman" panose="02020603050405020304" pitchFamily="18" charset="0"/>
                <a:cs typeface="Times New Roman" panose="02020603050405020304" pitchFamily="18" charset="0"/>
              </a:rPr>
              <a:t>Distribution by Feul System</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684408048"/>
        <c:axId val="684424848"/>
      </c:barChart>
      <c:catAx>
        <c:axId val="68440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684424848"/>
        <c:crosses val="autoZero"/>
        <c:auto val="1"/>
        <c:lblAlgn val="ctr"/>
        <c:lblOffset val="100"/>
        <c:noMultiLvlLbl val="0"/>
      </c:catAx>
      <c:valAx>
        <c:axId val="68442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8440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(1).xlsx]Pivot_Category_Region!PivotTable4</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2000" b="1">
                <a:latin typeface="Times New Roman" panose="02020603050405020304" pitchFamily="18" charset="0"/>
                <a:cs typeface="Times New Roman" panose="02020603050405020304" pitchFamily="18" charset="0"/>
              </a:rPr>
              <a:t>Count of Region </a:t>
            </a:r>
          </a:p>
        </c:rich>
      </c:tx>
      <c:layout>
        <c:manualLayout>
          <c:xMode val="edge"/>
          <c:yMode val="edge"/>
          <c:x val="0.38390648791661114"/>
          <c:y val="4.858850776164246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Pivot_Category_Region!$G$27</c:f>
              <c:strCache>
                <c:ptCount val="1"/>
                <c:pt idx="0">
                  <c:v>Count of Region (trim)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42-4E16-9854-E92C40F039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42-4E16-9854-E92C40F039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42-4E16-9854-E92C40F03999}"/>
              </c:ext>
            </c:extLst>
          </c:dPt>
          <c:cat>
            <c:strRef>
              <c:f>Pivot_Category_Region!$F$28:$F$31</c:f>
              <c:strCache>
                <c:ptCount val="3"/>
                <c:pt idx="0">
                  <c:v>Clothing</c:v>
                </c:pt>
                <c:pt idx="1">
                  <c:v>Electronics</c:v>
                </c:pt>
                <c:pt idx="2">
                  <c:v>Groceries</c:v>
                </c:pt>
              </c:strCache>
            </c:strRef>
          </c:cat>
          <c:val>
            <c:numRef>
              <c:f>Pivot_Category_Region!$G$28:$G$31</c:f>
              <c:numCache>
                <c:formatCode>General</c:formatCode>
                <c:ptCount val="3"/>
                <c:pt idx="0">
                  <c:v>17</c:v>
                </c:pt>
                <c:pt idx="1">
                  <c:v>19</c:v>
                </c:pt>
                <c:pt idx="2">
                  <c:v>14</c:v>
                </c:pt>
              </c:numCache>
            </c:numRef>
          </c:val>
          <c:extLst>
            <c:ext xmlns:c16="http://schemas.microsoft.com/office/drawing/2014/chart" uri="{C3380CC4-5D6E-409C-BE32-E72D297353CC}">
              <c16:uniqueId val="{00000006-3B42-4E16-9854-E92C40F03999}"/>
            </c:ext>
          </c:extLst>
        </c:ser>
        <c:ser>
          <c:idx val="1"/>
          <c:order val="1"/>
          <c:tx>
            <c:strRef>
              <c:f>Pivot_Category_Region!$H$27</c:f>
              <c:strCache>
                <c:ptCount val="1"/>
                <c:pt idx="0">
                  <c:v>Sum of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3B42-4E16-9854-E92C40F039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3B42-4E16-9854-E92C40F039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3B42-4E16-9854-E92C40F03999}"/>
              </c:ext>
            </c:extLst>
          </c:dPt>
          <c:cat>
            <c:strRef>
              <c:f>Pivot_Category_Region!$F$28:$F$31</c:f>
              <c:strCache>
                <c:ptCount val="3"/>
                <c:pt idx="0">
                  <c:v>Clothing</c:v>
                </c:pt>
                <c:pt idx="1">
                  <c:v>Electronics</c:v>
                </c:pt>
                <c:pt idx="2">
                  <c:v>Groceries</c:v>
                </c:pt>
              </c:strCache>
            </c:strRef>
          </c:cat>
          <c:val>
            <c:numRef>
              <c:f>Pivot_Category_Region!$H$28:$H$31</c:f>
              <c:numCache>
                <c:formatCode>General</c:formatCode>
                <c:ptCount val="3"/>
                <c:pt idx="0">
                  <c:v>205800</c:v>
                </c:pt>
                <c:pt idx="1">
                  <c:v>612300</c:v>
                </c:pt>
                <c:pt idx="2">
                  <c:v>189900</c:v>
                </c:pt>
              </c:numCache>
            </c:numRef>
          </c:val>
          <c:extLst>
            <c:ext xmlns:c16="http://schemas.microsoft.com/office/drawing/2014/chart" uri="{C3380CC4-5D6E-409C-BE32-E72D297353CC}">
              <c16:uniqueId val="{0000000D-3B42-4E16-9854-E92C40F0399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(1).xlsx]Pivot_Category!PivotTable3</c:name>
    <c:fmtId val="3"/>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4204557280525"/>
          <c:y val="0.11102273627740021"/>
          <c:w val="0.71666871653542874"/>
          <c:h val="0.7853138578755281"/>
        </c:manualLayout>
      </c:layout>
      <c:barChart>
        <c:barDir val="bar"/>
        <c:grouping val="clustered"/>
        <c:varyColors val="0"/>
        <c:ser>
          <c:idx val="0"/>
          <c:order val="0"/>
          <c:tx>
            <c:strRef>
              <c:f>Pivot_Category!$B$9</c:f>
              <c:strCache>
                <c:ptCount val="1"/>
                <c:pt idx="0">
                  <c:v>Total</c:v>
                </c:pt>
              </c:strCache>
            </c:strRef>
          </c:tx>
          <c:spPr>
            <a:solidFill>
              <a:schemeClr val="accent1"/>
            </a:solidFill>
            <a:ln>
              <a:noFill/>
            </a:ln>
            <a:effectLst/>
          </c:spPr>
          <c:invertIfNegative val="0"/>
          <c:cat>
            <c:strRef>
              <c:f>Pivot_Category!$A$10:$A$13</c:f>
              <c:strCache>
                <c:ptCount val="3"/>
                <c:pt idx="0">
                  <c:v>Clothing</c:v>
                </c:pt>
                <c:pt idx="1">
                  <c:v>Electronics</c:v>
                </c:pt>
                <c:pt idx="2">
                  <c:v>Groceries</c:v>
                </c:pt>
              </c:strCache>
            </c:strRef>
          </c:cat>
          <c:val>
            <c:numRef>
              <c:f>Pivot_Category!$B$10:$B$13</c:f>
              <c:numCache>
                <c:formatCode>General</c:formatCode>
                <c:ptCount val="3"/>
                <c:pt idx="0">
                  <c:v>17</c:v>
                </c:pt>
                <c:pt idx="1">
                  <c:v>19</c:v>
                </c:pt>
                <c:pt idx="2">
                  <c:v>14</c:v>
                </c:pt>
              </c:numCache>
            </c:numRef>
          </c:val>
          <c:extLst>
            <c:ext xmlns:c16="http://schemas.microsoft.com/office/drawing/2014/chart" uri="{C3380CC4-5D6E-409C-BE32-E72D297353CC}">
              <c16:uniqueId val="{00000000-8E30-4699-8E68-0433FA23298B}"/>
            </c:ext>
          </c:extLst>
        </c:ser>
        <c:dLbls>
          <c:showLegendKey val="0"/>
          <c:showVal val="0"/>
          <c:showCatName val="0"/>
          <c:showSerName val="0"/>
          <c:showPercent val="0"/>
          <c:showBubbleSize val="0"/>
        </c:dLbls>
        <c:gapWidth val="182"/>
        <c:axId val="279349119"/>
        <c:axId val="279355359"/>
      </c:barChart>
      <c:catAx>
        <c:axId val="2793491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79355359"/>
        <c:crosses val="autoZero"/>
        <c:auto val="1"/>
        <c:lblAlgn val="ctr"/>
        <c:lblOffset val="100"/>
        <c:noMultiLvlLbl val="0"/>
      </c:catAx>
      <c:valAx>
        <c:axId val="279355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7934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(1).xlsx]Pivot_Salesperson!PivotTable5</c:name>
    <c:fmtId val="9"/>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453681194272168E-2"/>
          <c:y val="3.7941942526181889E-2"/>
          <c:w val="0.94620561641778977"/>
          <c:h val="0.80925185811472089"/>
        </c:manualLayout>
      </c:layout>
      <c:barChart>
        <c:barDir val="col"/>
        <c:grouping val="clustered"/>
        <c:varyColors val="0"/>
        <c:ser>
          <c:idx val="0"/>
          <c:order val="0"/>
          <c:tx>
            <c:strRef>
              <c:f>Pivot_Salesperson!$C$15</c:f>
              <c:strCache>
                <c:ptCount val="1"/>
                <c:pt idx="0">
                  <c:v>Sum of Quantity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Pivot_Salesperson!$B$16:$B$24</c:f>
              <c:strCache>
                <c:ptCount val="8"/>
                <c:pt idx="0">
                  <c:v>Ahmed</c:v>
                </c:pt>
                <c:pt idx="1">
                  <c:v>Ali</c:v>
                </c:pt>
                <c:pt idx="2">
                  <c:v>Ayesha</c:v>
                </c:pt>
                <c:pt idx="3">
                  <c:v>Bilal</c:v>
                </c:pt>
                <c:pt idx="4">
                  <c:v>Fatima</c:v>
                </c:pt>
                <c:pt idx="5">
                  <c:v>Sara</c:v>
                </c:pt>
                <c:pt idx="6">
                  <c:v>Usman</c:v>
                </c:pt>
                <c:pt idx="7">
                  <c:v>Zainab</c:v>
                </c:pt>
              </c:strCache>
            </c:strRef>
          </c:cat>
          <c:val>
            <c:numRef>
              <c:f>Pivot_Salesperson!$C$16:$C$24</c:f>
              <c:numCache>
                <c:formatCode>General</c:formatCode>
                <c:ptCount val="8"/>
                <c:pt idx="0">
                  <c:v>42</c:v>
                </c:pt>
                <c:pt idx="1">
                  <c:v>37</c:v>
                </c:pt>
                <c:pt idx="2">
                  <c:v>44</c:v>
                </c:pt>
                <c:pt idx="3">
                  <c:v>41</c:v>
                </c:pt>
                <c:pt idx="4">
                  <c:v>28</c:v>
                </c:pt>
                <c:pt idx="5">
                  <c:v>27</c:v>
                </c:pt>
                <c:pt idx="6">
                  <c:v>23</c:v>
                </c:pt>
                <c:pt idx="7">
                  <c:v>16</c:v>
                </c:pt>
              </c:numCache>
            </c:numRef>
          </c:val>
          <c:extLst>
            <c:ext xmlns:c16="http://schemas.microsoft.com/office/drawing/2014/chart" uri="{C3380CC4-5D6E-409C-BE32-E72D297353CC}">
              <c16:uniqueId val="{00000000-8257-44B8-A5DB-55AC52FF2040}"/>
            </c:ext>
          </c:extLst>
        </c:ser>
        <c:ser>
          <c:idx val="1"/>
          <c:order val="1"/>
          <c:tx>
            <c:strRef>
              <c:f>Pivot_Salesperson!$D$15</c:f>
              <c:strCache>
                <c:ptCount val="1"/>
                <c:pt idx="0">
                  <c:v>Sum of Total Sales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Pivot_Salesperson!$B$16:$B$24</c:f>
              <c:strCache>
                <c:ptCount val="8"/>
                <c:pt idx="0">
                  <c:v>Ahmed</c:v>
                </c:pt>
                <c:pt idx="1">
                  <c:v>Ali</c:v>
                </c:pt>
                <c:pt idx="2">
                  <c:v>Ayesha</c:v>
                </c:pt>
                <c:pt idx="3">
                  <c:v>Bilal</c:v>
                </c:pt>
                <c:pt idx="4">
                  <c:v>Fatima</c:v>
                </c:pt>
                <c:pt idx="5">
                  <c:v>Sara</c:v>
                </c:pt>
                <c:pt idx="6">
                  <c:v>Usman</c:v>
                </c:pt>
                <c:pt idx="7">
                  <c:v>Zainab</c:v>
                </c:pt>
              </c:strCache>
            </c:strRef>
          </c:cat>
          <c:val>
            <c:numRef>
              <c:f>Pivot_Salesperson!$D$16:$D$24</c:f>
              <c:numCache>
                <c:formatCode>General</c:formatCode>
                <c:ptCount val="8"/>
                <c:pt idx="0">
                  <c:v>121000</c:v>
                </c:pt>
                <c:pt idx="1">
                  <c:v>65600</c:v>
                </c:pt>
                <c:pt idx="2">
                  <c:v>74300</c:v>
                </c:pt>
                <c:pt idx="3">
                  <c:v>94900</c:v>
                </c:pt>
                <c:pt idx="4">
                  <c:v>144300</c:v>
                </c:pt>
                <c:pt idx="5">
                  <c:v>112400</c:v>
                </c:pt>
                <c:pt idx="6">
                  <c:v>96900</c:v>
                </c:pt>
                <c:pt idx="7">
                  <c:v>298600</c:v>
                </c:pt>
              </c:numCache>
            </c:numRef>
          </c:val>
          <c:extLst>
            <c:ext xmlns:c16="http://schemas.microsoft.com/office/drawing/2014/chart" uri="{C3380CC4-5D6E-409C-BE32-E72D297353CC}">
              <c16:uniqueId val="{00000001-8257-44B8-A5DB-55AC52FF2040}"/>
            </c:ext>
          </c:extLst>
        </c:ser>
        <c:dLbls>
          <c:showLegendKey val="0"/>
          <c:showVal val="0"/>
          <c:showCatName val="0"/>
          <c:showSerName val="0"/>
          <c:showPercent val="0"/>
          <c:showBubbleSize val="0"/>
        </c:dLbls>
        <c:gapWidth val="219"/>
        <c:overlap val="-27"/>
        <c:axId val="279469599"/>
        <c:axId val="279470079"/>
      </c:barChart>
      <c:lineChart>
        <c:grouping val="standard"/>
        <c:varyColors val="0"/>
        <c:ser>
          <c:idx val="2"/>
          <c:order val="2"/>
          <c:tx>
            <c:strRef>
              <c:f>Pivot_Salesperson!$E$15</c:f>
              <c:strCache>
                <c:ptCount val="1"/>
                <c:pt idx="0">
                  <c:v>Sum of Unit Price</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Pivot_Salesperson!$B$16:$B$24</c:f>
              <c:strCache>
                <c:ptCount val="8"/>
                <c:pt idx="0">
                  <c:v>Ahmed</c:v>
                </c:pt>
                <c:pt idx="1">
                  <c:v>Ali</c:v>
                </c:pt>
                <c:pt idx="2">
                  <c:v>Ayesha</c:v>
                </c:pt>
                <c:pt idx="3">
                  <c:v>Bilal</c:v>
                </c:pt>
                <c:pt idx="4">
                  <c:v>Fatima</c:v>
                </c:pt>
                <c:pt idx="5">
                  <c:v>Sara</c:v>
                </c:pt>
                <c:pt idx="6">
                  <c:v>Usman</c:v>
                </c:pt>
                <c:pt idx="7">
                  <c:v>Zainab</c:v>
                </c:pt>
              </c:strCache>
            </c:strRef>
          </c:cat>
          <c:val>
            <c:numRef>
              <c:f>Pivot_Salesperson!$E$16:$E$24</c:f>
              <c:numCache>
                <c:formatCode>General</c:formatCode>
                <c:ptCount val="8"/>
                <c:pt idx="0">
                  <c:v>31200</c:v>
                </c:pt>
                <c:pt idx="1">
                  <c:v>10900</c:v>
                </c:pt>
                <c:pt idx="2">
                  <c:v>15200</c:v>
                </c:pt>
                <c:pt idx="3">
                  <c:v>34300</c:v>
                </c:pt>
                <c:pt idx="4">
                  <c:v>69500</c:v>
                </c:pt>
                <c:pt idx="5">
                  <c:v>39400</c:v>
                </c:pt>
                <c:pt idx="6">
                  <c:v>28300</c:v>
                </c:pt>
                <c:pt idx="7">
                  <c:v>179900</c:v>
                </c:pt>
              </c:numCache>
            </c:numRef>
          </c:val>
          <c:smooth val="0"/>
          <c:extLst>
            <c:ext xmlns:c16="http://schemas.microsoft.com/office/drawing/2014/chart" uri="{C3380CC4-5D6E-409C-BE32-E72D297353CC}">
              <c16:uniqueId val="{00000002-8257-44B8-A5DB-55AC52FF2040}"/>
            </c:ext>
          </c:extLst>
        </c:ser>
        <c:dLbls>
          <c:showLegendKey val="0"/>
          <c:showVal val="0"/>
          <c:showCatName val="0"/>
          <c:showSerName val="0"/>
          <c:showPercent val="0"/>
          <c:showBubbleSize val="0"/>
        </c:dLbls>
        <c:marker val="1"/>
        <c:smooth val="0"/>
        <c:axId val="279469599"/>
        <c:axId val="279470079"/>
      </c:lineChart>
      <c:catAx>
        <c:axId val="27946959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279470079"/>
        <c:crosses val="autoZero"/>
        <c:auto val="1"/>
        <c:lblAlgn val="ctr"/>
        <c:lblOffset val="100"/>
        <c:noMultiLvlLbl val="0"/>
      </c:catAx>
      <c:valAx>
        <c:axId val="2794700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27946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 (1).xlsx]Sheet1!PivotTable1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36737207766428"/>
          <c:y val="7.6373970592379506E-2"/>
          <c:w val="0.86087732960238161"/>
          <c:h val="0.80743998780282489"/>
        </c:manualLayout>
      </c:layout>
      <c:barChart>
        <c:barDir val="col"/>
        <c:grouping val="clustered"/>
        <c:varyColors val="0"/>
        <c:ser>
          <c:idx val="0"/>
          <c:order val="0"/>
          <c:tx>
            <c:strRef>
              <c:f>Sheet1!$B$3</c:f>
              <c:strCache>
                <c:ptCount val="1"/>
                <c:pt idx="0">
                  <c:v>Sum of Total Sales</c:v>
                </c:pt>
              </c:strCache>
            </c:strRef>
          </c:tx>
          <c:spPr>
            <a:solidFill>
              <a:schemeClr val="accent1"/>
            </a:solidFill>
            <a:ln>
              <a:noFill/>
            </a:ln>
            <a:effectLst/>
          </c:spPr>
          <c:invertIfNegative val="0"/>
          <c:cat>
            <c:strRef>
              <c:f>Sheet1!$A$4:$A$8</c:f>
              <c:strCache>
                <c:ptCount val="4"/>
                <c:pt idx="0">
                  <c:v>East</c:v>
                </c:pt>
                <c:pt idx="1">
                  <c:v>North</c:v>
                </c:pt>
                <c:pt idx="2">
                  <c:v>South</c:v>
                </c:pt>
                <c:pt idx="3">
                  <c:v>West</c:v>
                </c:pt>
              </c:strCache>
            </c:strRef>
          </c:cat>
          <c:val>
            <c:numRef>
              <c:f>Sheet1!$B$4:$B$8</c:f>
              <c:numCache>
                <c:formatCode>General</c:formatCode>
                <c:ptCount val="4"/>
                <c:pt idx="0">
                  <c:v>219100</c:v>
                </c:pt>
                <c:pt idx="1">
                  <c:v>321500</c:v>
                </c:pt>
                <c:pt idx="2">
                  <c:v>193000</c:v>
                </c:pt>
                <c:pt idx="3">
                  <c:v>274400</c:v>
                </c:pt>
              </c:numCache>
            </c:numRef>
          </c:val>
          <c:extLst>
            <c:ext xmlns:c16="http://schemas.microsoft.com/office/drawing/2014/chart" uri="{C3380CC4-5D6E-409C-BE32-E72D297353CC}">
              <c16:uniqueId val="{00000000-5C9F-48E1-885B-78B348527E0D}"/>
            </c:ext>
          </c:extLst>
        </c:ser>
        <c:ser>
          <c:idx val="1"/>
          <c:order val="1"/>
          <c:tx>
            <c:strRef>
              <c:f>Sheet1!$C$3</c:f>
              <c:strCache>
                <c:ptCount val="1"/>
                <c:pt idx="0">
                  <c:v>Sum of Quantity</c:v>
                </c:pt>
              </c:strCache>
            </c:strRef>
          </c:tx>
          <c:spPr>
            <a:solidFill>
              <a:schemeClr val="accent2"/>
            </a:solidFill>
            <a:ln>
              <a:noFill/>
            </a:ln>
            <a:effectLst/>
          </c:spPr>
          <c:invertIfNegative val="0"/>
          <c:cat>
            <c:strRef>
              <c:f>Sheet1!$A$4:$A$8</c:f>
              <c:strCache>
                <c:ptCount val="4"/>
                <c:pt idx="0">
                  <c:v>East</c:v>
                </c:pt>
                <c:pt idx="1">
                  <c:v>North</c:v>
                </c:pt>
                <c:pt idx="2">
                  <c:v>South</c:v>
                </c:pt>
                <c:pt idx="3">
                  <c:v>West</c:v>
                </c:pt>
              </c:strCache>
            </c:strRef>
          </c:cat>
          <c:val>
            <c:numRef>
              <c:f>Sheet1!$C$4:$C$8</c:f>
              <c:numCache>
                <c:formatCode>General</c:formatCode>
                <c:ptCount val="4"/>
                <c:pt idx="0">
                  <c:v>55</c:v>
                </c:pt>
                <c:pt idx="1">
                  <c:v>89</c:v>
                </c:pt>
                <c:pt idx="2">
                  <c:v>65</c:v>
                </c:pt>
                <c:pt idx="3">
                  <c:v>49</c:v>
                </c:pt>
              </c:numCache>
            </c:numRef>
          </c:val>
          <c:extLst>
            <c:ext xmlns:c16="http://schemas.microsoft.com/office/drawing/2014/chart" uri="{C3380CC4-5D6E-409C-BE32-E72D297353CC}">
              <c16:uniqueId val="{00000001-5C9F-48E1-885B-78B348527E0D}"/>
            </c:ext>
          </c:extLst>
        </c:ser>
        <c:dLbls>
          <c:showLegendKey val="0"/>
          <c:showVal val="0"/>
          <c:showCatName val="0"/>
          <c:showSerName val="0"/>
          <c:showPercent val="0"/>
          <c:showBubbleSize val="0"/>
        </c:dLbls>
        <c:gapWidth val="219"/>
        <c:overlap val="-27"/>
        <c:axId val="279438879"/>
        <c:axId val="279455679"/>
      </c:barChart>
      <c:catAx>
        <c:axId val="27943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79455679"/>
        <c:crosses val="autoZero"/>
        <c:auto val="1"/>
        <c:lblAlgn val="ctr"/>
        <c:lblOffset val="100"/>
        <c:noMultiLvlLbl val="0"/>
      </c:catAx>
      <c:valAx>
        <c:axId val="279455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Times New Roman" panose="02020603050405020304" pitchFamily="18" charset="0"/>
                <a:ea typeface="+mn-ea"/>
                <a:cs typeface="Times New Roman" panose="02020603050405020304" pitchFamily="18" charset="0"/>
              </a:defRPr>
            </a:pPr>
            <a:endParaRPr lang="en-US"/>
          </a:p>
        </c:txPr>
        <c:crossAx val="27943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7.xml"/><Relationship Id="rId7" Type="http://schemas.openxmlformats.org/officeDocument/2006/relationships/chart" Target="../charts/chart10.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1.png"/><Relationship Id="rId5" Type="http://schemas.openxmlformats.org/officeDocument/2006/relationships/chart" Target="../charts/chart9.xml"/><Relationship Id="rId10" Type="http://schemas.openxmlformats.org/officeDocument/2006/relationships/chart" Target="../charts/chart13.xml"/><Relationship Id="rId4" Type="http://schemas.openxmlformats.org/officeDocument/2006/relationships/chart" Target="../charts/chart8.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19050</xdr:colOff>
      <xdr:row>8</xdr:row>
      <xdr:rowOff>166687</xdr:rowOff>
    </xdr:from>
    <xdr:to>
      <xdr:col>5</xdr:col>
      <xdr:colOff>314325</xdr:colOff>
      <xdr:row>23</xdr:row>
      <xdr:rowOff>52387</xdr:rowOff>
    </xdr:to>
    <xdr:graphicFrame macro="">
      <xdr:nvGraphicFramePr>
        <xdr:cNvPr id="2" name="Chart 1">
          <a:extLst>
            <a:ext uri="{FF2B5EF4-FFF2-40B4-BE49-F238E27FC236}">
              <a16:creationId xmlns:a16="http://schemas.microsoft.com/office/drawing/2014/main" id="{E0E2C88E-CD00-0B80-909F-9E654E272C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285750</xdr:colOff>
      <xdr:row>4</xdr:row>
      <xdr:rowOff>33337</xdr:rowOff>
    </xdr:from>
    <xdr:to>
      <xdr:col>15</xdr:col>
      <xdr:colOff>590550</xdr:colOff>
      <xdr:row>18</xdr:row>
      <xdr:rowOff>109537</xdr:rowOff>
    </xdr:to>
    <xdr:graphicFrame macro="">
      <xdr:nvGraphicFramePr>
        <xdr:cNvPr id="2" name="Chart 1">
          <a:extLst>
            <a:ext uri="{FF2B5EF4-FFF2-40B4-BE49-F238E27FC236}">
              <a16:creationId xmlns:a16="http://schemas.microsoft.com/office/drawing/2014/main" id="{EAA175A9-5D7C-E827-526D-B43BCE7D3D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171450</xdr:colOff>
      <xdr:row>2</xdr:row>
      <xdr:rowOff>185737</xdr:rowOff>
    </xdr:from>
    <xdr:to>
      <xdr:col>15</xdr:col>
      <xdr:colOff>476250</xdr:colOff>
      <xdr:row>17</xdr:row>
      <xdr:rowOff>71437</xdr:rowOff>
    </xdr:to>
    <xdr:graphicFrame macro="">
      <xdr:nvGraphicFramePr>
        <xdr:cNvPr id="2" name="Chart 1">
          <a:extLst>
            <a:ext uri="{FF2B5EF4-FFF2-40B4-BE49-F238E27FC236}">
              <a16:creationId xmlns:a16="http://schemas.microsoft.com/office/drawing/2014/main" id="{6A3A1AB3-E9AE-75EC-EC01-0D929889AA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228600</xdr:colOff>
      <xdr:row>4</xdr:row>
      <xdr:rowOff>14287</xdr:rowOff>
    </xdr:from>
    <xdr:to>
      <xdr:col>18</xdr:col>
      <xdr:colOff>323850</xdr:colOff>
      <xdr:row>28</xdr:row>
      <xdr:rowOff>123825</xdr:rowOff>
    </xdr:to>
    <xdr:graphicFrame macro="">
      <xdr:nvGraphicFramePr>
        <xdr:cNvPr id="2" name="Chart 1">
          <a:extLst>
            <a:ext uri="{FF2B5EF4-FFF2-40B4-BE49-F238E27FC236}">
              <a16:creationId xmlns:a16="http://schemas.microsoft.com/office/drawing/2014/main" id="{1550CC52-C962-0C4F-EF87-4F7A6F1F7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39831</xdr:colOff>
      <xdr:row>4</xdr:row>
      <xdr:rowOff>179294</xdr:rowOff>
    </xdr:from>
    <xdr:to>
      <xdr:col>25</xdr:col>
      <xdr:colOff>112059</xdr:colOff>
      <xdr:row>8</xdr:row>
      <xdr:rowOff>100853</xdr:rowOff>
    </xdr:to>
    <xdr:sp macro="" textlink="">
      <xdr:nvSpPr>
        <xdr:cNvPr id="2" name="Rectangle: Rounded Corners 1">
          <a:extLst>
            <a:ext uri="{FF2B5EF4-FFF2-40B4-BE49-F238E27FC236}">
              <a16:creationId xmlns:a16="http://schemas.microsoft.com/office/drawing/2014/main" id="{EE6935A5-482C-448D-891E-6617421B6B88}"/>
            </a:ext>
          </a:extLst>
        </xdr:cNvPr>
        <xdr:cNvSpPr/>
      </xdr:nvSpPr>
      <xdr:spPr>
        <a:xfrm>
          <a:off x="39831" y="941294"/>
          <a:ext cx="15200169" cy="683559"/>
        </a:xfrm>
        <a:prstGeom prst="roundRect">
          <a:avLst>
            <a:gd name="adj" fmla="val 8559"/>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25</xdr:col>
      <xdr:colOff>100853</xdr:colOff>
      <xdr:row>4</xdr:row>
      <xdr:rowOff>112058</xdr:rowOff>
    </xdr:to>
    <xdr:sp macro="" textlink="">
      <xdr:nvSpPr>
        <xdr:cNvPr id="4" name="Rectangle: Rounded Corners 3">
          <a:extLst>
            <a:ext uri="{FF2B5EF4-FFF2-40B4-BE49-F238E27FC236}">
              <a16:creationId xmlns:a16="http://schemas.microsoft.com/office/drawing/2014/main" id="{6D80AAE5-412B-478F-8CA9-3AB451691DD6}"/>
            </a:ext>
          </a:extLst>
        </xdr:cNvPr>
        <xdr:cNvSpPr/>
      </xdr:nvSpPr>
      <xdr:spPr>
        <a:xfrm>
          <a:off x="0" y="0"/>
          <a:ext cx="15228794" cy="874058"/>
        </a:xfrm>
        <a:prstGeom prst="roundRect">
          <a:avLst>
            <a:gd name="adj" fmla="val 8559"/>
          </a:avLst>
        </a:prstGeom>
        <a:solidFill>
          <a:schemeClr val="accent1">
            <a:lumMod val="40000"/>
            <a:lumOff val="6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459442</xdr:colOff>
      <xdr:row>0</xdr:row>
      <xdr:rowOff>0</xdr:rowOff>
    </xdr:from>
    <xdr:ext cx="13805646" cy="1390584"/>
    <xdr:sp macro="" textlink="">
      <xdr:nvSpPr>
        <xdr:cNvPr id="6" name="Rectangle 5">
          <a:extLst>
            <a:ext uri="{FF2B5EF4-FFF2-40B4-BE49-F238E27FC236}">
              <a16:creationId xmlns:a16="http://schemas.microsoft.com/office/drawing/2014/main" id="{3FE2AF83-1FD3-49E4-8073-3FF9B89AA767}"/>
            </a:ext>
          </a:extLst>
        </xdr:cNvPr>
        <xdr:cNvSpPr/>
      </xdr:nvSpPr>
      <xdr:spPr>
        <a:xfrm>
          <a:off x="1064560" y="0"/>
          <a:ext cx="13805646" cy="1390584"/>
        </a:xfrm>
        <a:prstGeom prst="rect">
          <a:avLst/>
        </a:prstGeom>
        <a:noFill/>
        <a:ln>
          <a:noFill/>
        </a:ln>
      </xdr:spPr>
      <xdr:txBody>
        <a:bodyPr wrap="square" lIns="91440" tIns="45720" rIns="91440" bIns="45720">
          <a:noAutofit/>
        </a:bodyPr>
        <a:lstStyle/>
        <a:p>
          <a:pPr algn="l"/>
          <a:r>
            <a:rPr lang="en-US" sz="6600" b="1" cap="none" spc="0">
              <a:ln w="0"/>
              <a:solidFill>
                <a:schemeClr val="accent6">
                  <a:lumMod val="50000"/>
                </a:schemeClr>
              </a:solidFill>
              <a:effectLst>
                <a:outerShdw blurRad="38100" dist="19050" dir="2700000" algn="tl" rotWithShape="0">
                  <a:schemeClr val="dk1">
                    <a:alpha val="40000"/>
                  </a:schemeClr>
                </a:outerShdw>
              </a:effectLst>
              <a:latin typeface="Times New Roman" panose="02020603050405020304" pitchFamily="18" charset="0"/>
              <a:ea typeface="Calibri" panose="020F0502020204030204" pitchFamily="34" charset="0"/>
              <a:cs typeface="Times New Roman" panose="02020603050405020304" pitchFamily="18" charset="0"/>
            </a:rPr>
            <a:t>   </a:t>
          </a:r>
          <a:r>
            <a:rPr lang="en-US" sz="6000" b="1" cap="none" spc="0">
              <a:ln w="0"/>
              <a:solidFill>
                <a:schemeClr val="accent5">
                  <a:lumMod val="50000"/>
                </a:schemeClr>
              </a:solidFill>
              <a:effectLst>
                <a:outerShdw blurRad="38100" dist="19050" dir="2700000" algn="tl" rotWithShape="0">
                  <a:schemeClr val="dk1">
                    <a:alpha val="40000"/>
                  </a:schemeClr>
                </a:outerShdw>
              </a:effectLst>
              <a:latin typeface="Times New Roman" panose="02020603050405020304" pitchFamily="18" charset="0"/>
              <a:ea typeface="Calibri" panose="020F0502020204030204" pitchFamily="34" charset="0"/>
              <a:cs typeface="Times New Roman" panose="02020603050405020304" pitchFamily="18" charset="0"/>
            </a:rPr>
            <a:t>SALES</a:t>
          </a:r>
          <a:r>
            <a:rPr lang="en-US" sz="6000" b="1" cap="none" spc="0" baseline="0">
              <a:ln w="0"/>
              <a:solidFill>
                <a:schemeClr val="accent5">
                  <a:lumMod val="50000"/>
                </a:schemeClr>
              </a:solidFill>
              <a:effectLst>
                <a:outerShdw blurRad="38100" dist="19050" dir="2700000" algn="tl" rotWithShape="0">
                  <a:schemeClr val="dk1">
                    <a:alpha val="40000"/>
                  </a:schemeClr>
                </a:outerShdw>
              </a:effectLst>
              <a:latin typeface="Times New Roman" panose="02020603050405020304" pitchFamily="18" charset="0"/>
              <a:ea typeface="Calibri" panose="020F0502020204030204" pitchFamily="34" charset="0"/>
              <a:cs typeface="Times New Roman" panose="02020603050405020304" pitchFamily="18" charset="0"/>
            </a:rPr>
            <a:t> ANALYSIS DASHBOARD</a:t>
          </a:r>
          <a:endParaRPr lang="en-US" sz="6600" b="1" cap="none" spc="0">
            <a:ln w="0"/>
            <a:solidFill>
              <a:schemeClr val="accent5">
                <a:lumMod val="50000"/>
              </a:schemeClr>
            </a:solidFill>
            <a:effectLst>
              <a:outerShdw blurRad="38100" dist="19050" dir="2700000" algn="tl" rotWithShape="0">
                <a:schemeClr val="dk1">
                  <a:alpha val="40000"/>
                </a:schemeClr>
              </a:outerShdw>
            </a:effectLst>
            <a:latin typeface="Times New Roman" panose="02020603050405020304" pitchFamily="18" charset="0"/>
            <a:ea typeface="Calibri" panose="020F0502020204030204" pitchFamily="34" charset="0"/>
            <a:cs typeface="Times New Roman" panose="02020603050405020304" pitchFamily="18" charset="0"/>
          </a:endParaRPr>
        </a:p>
      </xdr:txBody>
    </xdr:sp>
    <xdr:clientData/>
  </xdr:oneCellAnchor>
  <xdr:twoCellAnchor>
    <xdr:from>
      <xdr:col>21</xdr:col>
      <xdr:colOff>579244</xdr:colOff>
      <xdr:row>1</xdr:row>
      <xdr:rowOff>156882</xdr:rowOff>
    </xdr:from>
    <xdr:to>
      <xdr:col>23</xdr:col>
      <xdr:colOff>134471</xdr:colOff>
      <xdr:row>3</xdr:row>
      <xdr:rowOff>3159</xdr:rowOff>
    </xdr:to>
    <xdr:sp macro="" textlink="">
      <xdr:nvSpPr>
        <xdr:cNvPr id="8" name="TextBox 7">
          <a:extLst>
            <a:ext uri="{FF2B5EF4-FFF2-40B4-BE49-F238E27FC236}">
              <a16:creationId xmlns:a16="http://schemas.microsoft.com/office/drawing/2014/main" id="{E4B80324-55AE-47D2-8759-66E299C327AB}"/>
            </a:ext>
          </a:extLst>
        </xdr:cNvPr>
        <xdr:cNvSpPr txBox="1"/>
      </xdr:nvSpPr>
      <xdr:spPr>
        <a:xfrm>
          <a:off x="13286715" y="347382"/>
          <a:ext cx="765462" cy="227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3200" b="1" i="0" u="none" strike="noStrike">
            <a:solidFill>
              <a:schemeClr val="accent6">
                <a:lumMod val="50000"/>
              </a:schemeClr>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53685</xdr:colOff>
      <xdr:row>8</xdr:row>
      <xdr:rowOff>179294</xdr:rowOff>
    </xdr:from>
    <xdr:to>
      <xdr:col>6</xdr:col>
      <xdr:colOff>100853</xdr:colOff>
      <xdr:row>23</xdr:row>
      <xdr:rowOff>179293</xdr:rowOff>
    </xdr:to>
    <xdr:sp macro="" textlink="">
      <xdr:nvSpPr>
        <xdr:cNvPr id="10" name="Rectangle: Rounded Corners 9">
          <a:extLst>
            <a:ext uri="{FF2B5EF4-FFF2-40B4-BE49-F238E27FC236}">
              <a16:creationId xmlns:a16="http://schemas.microsoft.com/office/drawing/2014/main" id="{02131D3B-BF4D-4811-AC59-7BD3D77BF20C}"/>
            </a:ext>
          </a:extLst>
        </xdr:cNvPr>
        <xdr:cNvSpPr/>
      </xdr:nvSpPr>
      <xdr:spPr>
        <a:xfrm>
          <a:off x="53685" y="1703294"/>
          <a:ext cx="3677874" cy="2857499"/>
        </a:xfrm>
        <a:prstGeom prst="roundRect">
          <a:avLst>
            <a:gd name="adj" fmla="val 1888"/>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144605</xdr:colOff>
      <xdr:row>8</xdr:row>
      <xdr:rowOff>179294</xdr:rowOff>
    </xdr:from>
    <xdr:to>
      <xdr:col>15</xdr:col>
      <xdr:colOff>198294</xdr:colOff>
      <xdr:row>23</xdr:row>
      <xdr:rowOff>179294</xdr:rowOff>
    </xdr:to>
    <xdr:sp macro="" textlink="">
      <xdr:nvSpPr>
        <xdr:cNvPr id="11" name="Rectangle: Rounded Corners 10">
          <a:extLst>
            <a:ext uri="{FF2B5EF4-FFF2-40B4-BE49-F238E27FC236}">
              <a16:creationId xmlns:a16="http://schemas.microsoft.com/office/drawing/2014/main" id="{AA9C7DC9-3FD8-401E-8B36-AD3A4063C8F0}"/>
            </a:ext>
          </a:extLst>
        </xdr:cNvPr>
        <xdr:cNvSpPr/>
      </xdr:nvSpPr>
      <xdr:spPr>
        <a:xfrm>
          <a:off x="3775311" y="1703294"/>
          <a:ext cx="5499748" cy="2857500"/>
        </a:xfrm>
        <a:prstGeom prst="roundRect">
          <a:avLst>
            <a:gd name="adj" fmla="val 1888"/>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271895</xdr:colOff>
      <xdr:row>8</xdr:row>
      <xdr:rowOff>168088</xdr:rowOff>
    </xdr:from>
    <xdr:to>
      <xdr:col>25</xdr:col>
      <xdr:colOff>156883</xdr:colOff>
      <xdr:row>23</xdr:row>
      <xdr:rowOff>168088</xdr:rowOff>
    </xdr:to>
    <xdr:sp macro="" textlink="">
      <xdr:nvSpPr>
        <xdr:cNvPr id="12" name="Rectangle: Rounded Corners 11">
          <a:extLst>
            <a:ext uri="{FF2B5EF4-FFF2-40B4-BE49-F238E27FC236}">
              <a16:creationId xmlns:a16="http://schemas.microsoft.com/office/drawing/2014/main" id="{736DFBCC-0AC5-4A0A-8B6E-F0FC4FB9887D}"/>
            </a:ext>
          </a:extLst>
        </xdr:cNvPr>
        <xdr:cNvSpPr/>
      </xdr:nvSpPr>
      <xdr:spPr>
        <a:xfrm>
          <a:off x="9348660" y="1692088"/>
          <a:ext cx="5936164" cy="2857500"/>
        </a:xfrm>
        <a:prstGeom prst="roundRect">
          <a:avLst>
            <a:gd name="adj" fmla="val 1888"/>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xdr:colOff>
      <xdr:row>24</xdr:row>
      <xdr:rowOff>44824</xdr:rowOff>
    </xdr:from>
    <xdr:to>
      <xdr:col>25</xdr:col>
      <xdr:colOff>201706</xdr:colOff>
      <xdr:row>45</xdr:row>
      <xdr:rowOff>76200</xdr:rowOff>
    </xdr:to>
    <xdr:sp macro="" textlink="">
      <xdr:nvSpPr>
        <xdr:cNvPr id="15" name="Rectangle: Rounded Corners 14">
          <a:extLst>
            <a:ext uri="{FF2B5EF4-FFF2-40B4-BE49-F238E27FC236}">
              <a16:creationId xmlns:a16="http://schemas.microsoft.com/office/drawing/2014/main" id="{61A53CC9-6E45-4789-822D-FBA60E9D323A}"/>
            </a:ext>
          </a:extLst>
        </xdr:cNvPr>
        <xdr:cNvSpPr/>
      </xdr:nvSpPr>
      <xdr:spPr>
        <a:xfrm>
          <a:off x="28575" y="4616824"/>
          <a:ext cx="15301072" cy="4031876"/>
        </a:xfrm>
        <a:prstGeom prst="roundRect">
          <a:avLst>
            <a:gd name="adj" fmla="val 1888"/>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53684</xdr:colOff>
      <xdr:row>9</xdr:row>
      <xdr:rowOff>60615</xdr:rowOff>
    </xdr:from>
    <xdr:to>
      <xdr:col>6</xdr:col>
      <xdr:colOff>78440</xdr:colOff>
      <xdr:row>22</xdr:row>
      <xdr:rowOff>179294</xdr:rowOff>
    </xdr:to>
    <xdr:graphicFrame macro="">
      <xdr:nvGraphicFramePr>
        <xdr:cNvPr id="17" name="Chart 16">
          <a:extLst>
            <a:ext uri="{FF2B5EF4-FFF2-40B4-BE49-F238E27FC236}">
              <a16:creationId xmlns:a16="http://schemas.microsoft.com/office/drawing/2014/main" id="{18179DD4-78AD-4AAB-B694-C24F30D43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154129</xdr:colOff>
      <xdr:row>8</xdr:row>
      <xdr:rowOff>67235</xdr:rowOff>
    </xdr:from>
    <xdr:to>
      <xdr:col>15</xdr:col>
      <xdr:colOff>199159</xdr:colOff>
      <xdr:row>22</xdr:row>
      <xdr:rowOff>181841</xdr:rowOff>
    </xdr:to>
    <xdr:graphicFrame macro="">
      <xdr:nvGraphicFramePr>
        <xdr:cNvPr id="18" name="Chart 17">
          <a:extLst>
            <a:ext uri="{FF2B5EF4-FFF2-40B4-BE49-F238E27FC236}">
              <a16:creationId xmlns:a16="http://schemas.microsoft.com/office/drawing/2014/main" id="{734BA6EF-A442-4107-BB99-00A70B484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34635</xdr:colOff>
      <xdr:row>23</xdr:row>
      <xdr:rowOff>116037</xdr:rowOff>
    </xdr:from>
    <xdr:to>
      <xdr:col>4</xdr:col>
      <xdr:colOff>571500</xdr:colOff>
      <xdr:row>37</xdr:row>
      <xdr:rowOff>60614</xdr:rowOff>
    </xdr:to>
    <xdr:graphicFrame macro="">
      <xdr:nvGraphicFramePr>
        <xdr:cNvPr id="20" name="Chart 19">
          <a:extLst>
            <a:ext uri="{FF2B5EF4-FFF2-40B4-BE49-F238E27FC236}">
              <a16:creationId xmlns:a16="http://schemas.microsoft.com/office/drawing/2014/main" id="{E22B5692-9A7B-4AA3-A5E4-63FD8775F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83127</xdr:colOff>
      <xdr:row>23</xdr:row>
      <xdr:rowOff>77933</xdr:rowOff>
    </xdr:from>
    <xdr:to>
      <xdr:col>9</xdr:col>
      <xdr:colOff>562842</xdr:colOff>
      <xdr:row>37</xdr:row>
      <xdr:rowOff>25977</xdr:rowOff>
    </xdr:to>
    <xdr:graphicFrame macro="">
      <xdr:nvGraphicFramePr>
        <xdr:cNvPr id="22" name="Chart 21">
          <a:extLst>
            <a:ext uri="{FF2B5EF4-FFF2-40B4-BE49-F238E27FC236}">
              <a16:creationId xmlns:a16="http://schemas.microsoft.com/office/drawing/2014/main" id="{7BAC22A9-4CA8-4421-AE3F-7AF224F17A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571499</xdr:colOff>
      <xdr:row>23</xdr:row>
      <xdr:rowOff>112568</xdr:rowOff>
    </xdr:from>
    <xdr:to>
      <xdr:col>25</xdr:col>
      <xdr:colOff>225136</xdr:colOff>
      <xdr:row>37</xdr:row>
      <xdr:rowOff>34635</xdr:rowOff>
    </xdr:to>
    <xdr:graphicFrame macro="">
      <xdr:nvGraphicFramePr>
        <xdr:cNvPr id="23" name="Chart 22">
          <a:extLst>
            <a:ext uri="{FF2B5EF4-FFF2-40B4-BE49-F238E27FC236}">
              <a16:creationId xmlns:a16="http://schemas.microsoft.com/office/drawing/2014/main" id="{B72C588E-48AE-4FA4-936C-C25640789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343741</xdr:colOff>
      <xdr:row>0</xdr:row>
      <xdr:rowOff>139374</xdr:rowOff>
    </xdr:from>
    <xdr:to>
      <xdr:col>2</xdr:col>
      <xdr:colOff>67363</xdr:colOff>
      <xdr:row>4</xdr:row>
      <xdr:rowOff>89647</xdr:rowOff>
    </xdr:to>
    <xdr:pic>
      <xdr:nvPicPr>
        <xdr:cNvPr id="25" name="Picture 24">
          <a:extLst>
            <a:ext uri="{FF2B5EF4-FFF2-40B4-BE49-F238E27FC236}">
              <a16:creationId xmlns:a16="http://schemas.microsoft.com/office/drawing/2014/main" id="{3B61B960-3975-4D40-BA10-93C616447F1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43741" y="139374"/>
          <a:ext cx="933857" cy="712273"/>
        </a:xfrm>
        <a:prstGeom prst="rect">
          <a:avLst/>
        </a:prstGeom>
      </xdr:spPr>
    </xdr:pic>
    <xdr:clientData/>
  </xdr:twoCellAnchor>
  <xdr:twoCellAnchor>
    <xdr:from>
      <xdr:col>6</xdr:col>
      <xdr:colOff>212911</xdr:colOff>
      <xdr:row>9</xdr:row>
      <xdr:rowOff>56030</xdr:rowOff>
    </xdr:from>
    <xdr:to>
      <xdr:col>15</xdr:col>
      <xdr:colOff>190499</xdr:colOff>
      <xdr:row>23</xdr:row>
      <xdr:rowOff>107575</xdr:rowOff>
    </xdr:to>
    <xdr:graphicFrame macro="">
      <xdr:nvGraphicFramePr>
        <xdr:cNvPr id="26" name="Chart 25">
          <a:extLst>
            <a:ext uri="{FF2B5EF4-FFF2-40B4-BE49-F238E27FC236}">
              <a16:creationId xmlns:a16="http://schemas.microsoft.com/office/drawing/2014/main" id="{39573EC5-EA06-487B-9C57-DC9E981B4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136072</xdr:colOff>
      <xdr:row>9</xdr:row>
      <xdr:rowOff>136071</xdr:rowOff>
    </xdr:from>
    <xdr:to>
      <xdr:col>6</xdr:col>
      <xdr:colOff>7845</xdr:colOff>
      <xdr:row>23</xdr:row>
      <xdr:rowOff>89647</xdr:rowOff>
    </xdr:to>
    <xdr:graphicFrame macro="">
      <xdr:nvGraphicFramePr>
        <xdr:cNvPr id="27" name="Chart 26">
          <a:extLst>
            <a:ext uri="{FF2B5EF4-FFF2-40B4-BE49-F238E27FC236}">
              <a16:creationId xmlns:a16="http://schemas.microsoft.com/office/drawing/2014/main" id="{F4B2417F-6630-4BFE-94A2-2FA56F7F7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78441</xdr:colOff>
      <xdr:row>24</xdr:row>
      <xdr:rowOff>100853</xdr:rowOff>
    </xdr:from>
    <xdr:to>
      <xdr:col>25</xdr:col>
      <xdr:colOff>78441</xdr:colOff>
      <xdr:row>44</xdr:row>
      <xdr:rowOff>114300</xdr:rowOff>
    </xdr:to>
    <xdr:graphicFrame macro="">
      <xdr:nvGraphicFramePr>
        <xdr:cNvPr id="29" name="Chart 28">
          <a:extLst>
            <a:ext uri="{FF2B5EF4-FFF2-40B4-BE49-F238E27FC236}">
              <a16:creationId xmlns:a16="http://schemas.microsoft.com/office/drawing/2014/main" id="{4D034D47-64D0-4BCE-B89E-BD11D07EF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324970</xdr:colOff>
      <xdr:row>9</xdr:row>
      <xdr:rowOff>11206</xdr:rowOff>
    </xdr:from>
    <xdr:to>
      <xdr:col>25</xdr:col>
      <xdr:colOff>89647</xdr:colOff>
      <xdr:row>23</xdr:row>
      <xdr:rowOff>112060</xdr:rowOff>
    </xdr:to>
    <xdr:graphicFrame macro="">
      <xdr:nvGraphicFramePr>
        <xdr:cNvPr id="31" name="Chart 30">
          <a:extLst>
            <a:ext uri="{FF2B5EF4-FFF2-40B4-BE49-F238E27FC236}">
              <a16:creationId xmlns:a16="http://schemas.microsoft.com/office/drawing/2014/main" id="{4538486D-4987-4BE4-AF94-1B42F4F8A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78442</xdr:colOff>
      <xdr:row>5</xdr:row>
      <xdr:rowOff>22412</xdr:rowOff>
    </xdr:from>
    <xdr:to>
      <xdr:col>25</xdr:col>
      <xdr:colOff>78441</xdr:colOff>
      <xdr:row>8</xdr:row>
      <xdr:rowOff>44823</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5759CF15-4CEC-B37E-93E4-C45CAB52760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442" y="974912"/>
              <a:ext cx="15239999" cy="59391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MG MIAN" refreshedDate="46086.476780092591" createdVersion="8" refreshedVersion="8" minRefreshableVersion="3" recordCount="50" xr:uid="{7CC47FC6-11CF-474F-B151-CD1E640BD7DB}">
  <cacheSource type="worksheet">
    <worksheetSource name="Table1"/>
  </cacheSource>
  <cacheFields count="10">
    <cacheField name="Order ID" numFmtId="0">
      <sharedItems containsSemiMixedTypes="0" containsString="0" containsNumber="1" containsInteger="1" minValue="1001" maxValue="2050"/>
    </cacheField>
    <cacheField name="Date" numFmtId="14">
      <sharedItems containsSemiMixedTypes="0" containsNonDate="0" containsDate="1" containsString="0" minDate="2025-01-01T00:00:00" maxDate="2025-02-24T00:00:00"/>
    </cacheField>
    <cacheField name="Region" numFmtId="0">
      <sharedItems count="4">
        <s v="North"/>
        <s v="South"/>
        <s v="West"/>
        <s v="East"/>
      </sharedItems>
    </cacheField>
    <cacheField name="Region (trim)" numFmtId="0">
      <sharedItems count="4">
        <s v="North"/>
        <s v="South"/>
        <s v="West"/>
        <s v="East"/>
      </sharedItems>
    </cacheField>
    <cacheField name="Salesperson" numFmtId="0">
      <sharedItems count="8">
        <s v="Ali"/>
        <s v="Sara"/>
        <s v="Ahmed"/>
        <s v="Fatima"/>
        <s v="Bilal"/>
        <s v="Ayesha"/>
        <s v="Usman"/>
        <s v="Zainab"/>
      </sharedItems>
    </cacheField>
    <cacheField name="Category" numFmtId="0">
      <sharedItems count="3">
        <s v="Electronics"/>
        <s v="Clothing"/>
        <s v="Groceries"/>
      </sharedItems>
    </cacheField>
    <cacheField name="Product" numFmtId="0">
      <sharedItems count="22">
        <s v="Mouse"/>
        <s v="Jacket"/>
        <s v="Keyboard"/>
        <s v="Rice"/>
        <s v="Headphones"/>
        <s v="Shoes"/>
        <s v="Oil"/>
        <s v="Speaker"/>
        <s v="T-Shirt"/>
        <s v="Sugar"/>
        <s v="Monitor"/>
        <s v="Jeans"/>
        <s v="Flour"/>
        <s v="Rice Bag"/>
        <s v="Tea"/>
        <s v="Hoodie"/>
        <s v="Laptop"/>
        <s v="Cap"/>
        <s v="Printer"/>
        <s v="Tablet"/>
        <s v="Socks"/>
        <s v="Camera"/>
      </sharedItems>
    </cacheField>
    <cacheField name="Quantity" numFmtId="0">
      <sharedItems containsSemiMixedTypes="0" containsString="0" containsNumber="1" containsInteger="1" minValue="1" maxValue="12"/>
    </cacheField>
    <cacheField name="Unit Price" numFmtId="0">
      <sharedItems containsSemiMixedTypes="0" containsString="0" containsNumber="1" containsInteger="1" minValue="300" maxValue="95000"/>
    </cacheField>
    <cacheField name="Total Sales" numFmtId="0">
      <sharedItems containsSemiMixedTypes="0" containsString="0" containsNumber="1" containsInteger="1" minValue="3000" maxValue="190000"/>
    </cacheField>
  </cacheFields>
  <extLst>
    <ext xmlns:x14="http://schemas.microsoft.com/office/spreadsheetml/2009/9/main" uri="{725AE2AE-9491-48be-B2B4-4EB974FC3084}">
      <x14:pivotCacheDefinition pivotCacheId="2055009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d v="2025-01-01T00:00:00"/>
    <x v="0"/>
    <x v="0"/>
    <x v="0"/>
    <x v="0"/>
    <x v="0"/>
    <n v="5"/>
    <n v="1200"/>
    <n v="6000"/>
  </r>
  <r>
    <n v="1002"/>
    <d v="2025-01-02T00:00:00"/>
    <x v="1"/>
    <x v="1"/>
    <x v="1"/>
    <x v="1"/>
    <x v="1"/>
    <n v="2"/>
    <n v="4500"/>
    <n v="9000"/>
  </r>
  <r>
    <n v="1003"/>
    <d v="2025-02-01T00:00:00"/>
    <x v="2"/>
    <x v="2"/>
    <x v="2"/>
    <x v="0"/>
    <x v="2"/>
    <n v="4"/>
    <n v="1800"/>
    <n v="7200"/>
  </r>
  <r>
    <n v="1004"/>
    <d v="2025-01-03T00:00:00"/>
    <x v="3"/>
    <x v="3"/>
    <x v="3"/>
    <x v="2"/>
    <x v="3"/>
    <n v="8"/>
    <n v="2200"/>
    <n v="17600"/>
  </r>
  <r>
    <n v="1005"/>
    <d v="2025-01-04T00:00:00"/>
    <x v="0"/>
    <x v="0"/>
    <x v="4"/>
    <x v="0"/>
    <x v="4"/>
    <n v="6"/>
    <n v="2500"/>
    <n v="15000"/>
  </r>
  <r>
    <n v="1006"/>
    <d v="2025-01-05T00:00:00"/>
    <x v="1"/>
    <x v="1"/>
    <x v="5"/>
    <x v="1"/>
    <x v="5"/>
    <n v="3"/>
    <n v="5000"/>
    <n v="15000"/>
  </r>
  <r>
    <n v="1007"/>
    <d v="2025-01-06T00:00:00"/>
    <x v="2"/>
    <x v="2"/>
    <x v="6"/>
    <x v="2"/>
    <x v="6"/>
    <n v="7"/>
    <n v="2100"/>
    <n v="14700"/>
  </r>
  <r>
    <n v="1008"/>
    <d v="2025-01-07T00:00:00"/>
    <x v="3"/>
    <x v="3"/>
    <x v="7"/>
    <x v="0"/>
    <x v="7"/>
    <n v="2"/>
    <n v="6000"/>
    <n v="12000"/>
  </r>
  <r>
    <n v="1009"/>
    <d v="2025-01-08T00:00:00"/>
    <x v="0"/>
    <x v="0"/>
    <x v="0"/>
    <x v="1"/>
    <x v="8"/>
    <n v="10"/>
    <n v="1500"/>
    <n v="15000"/>
  </r>
  <r>
    <n v="1010"/>
    <d v="2025-01-09T00:00:00"/>
    <x v="1"/>
    <x v="1"/>
    <x v="1"/>
    <x v="2"/>
    <x v="9"/>
    <n v="12"/>
    <n v="1700"/>
    <n v="20400"/>
  </r>
  <r>
    <n v="1011"/>
    <d v="2025-01-10T00:00:00"/>
    <x v="2"/>
    <x v="2"/>
    <x v="2"/>
    <x v="0"/>
    <x v="10"/>
    <n v="3"/>
    <n v="22000"/>
    <n v="66000"/>
  </r>
  <r>
    <n v="1012"/>
    <d v="2025-01-11T00:00:00"/>
    <x v="3"/>
    <x v="3"/>
    <x v="3"/>
    <x v="1"/>
    <x v="11"/>
    <n v="5"/>
    <n v="3500"/>
    <n v="17500"/>
  </r>
  <r>
    <n v="1013"/>
    <d v="2025-01-12T00:00:00"/>
    <x v="0"/>
    <x v="0"/>
    <x v="4"/>
    <x v="2"/>
    <x v="12"/>
    <n v="9"/>
    <n v="1600"/>
    <n v="14400"/>
  </r>
  <r>
    <n v="1014"/>
    <d v="2025-01-13T00:00:00"/>
    <x v="1"/>
    <x v="1"/>
    <x v="5"/>
    <x v="0"/>
    <x v="0"/>
    <n v="4"/>
    <n v="1200"/>
    <n v="4800"/>
  </r>
  <r>
    <n v="1015"/>
    <d v="2025-01-14T00:00:00"/>
    <x v="2"/>
    <x v="2"/>
    <x v="6"/>
    <x v="1"/>
    <x v="1"/>
    <n v="3"/>
    <n v="4500"/>
    <n v="13500"/>
  </r>
  <r>
    <n v="1016"/>
    <d v="2025-01-15T00:00:00"/>
    <x v="3"/>
    <x v="3"/>
    <x v="7"/>
    <x v="2"/>
    <x v="6"/>
    <n v="6"/>
    <n v="2100"/>
    <n v="12600"/>
  </r>
  <r>
    <n v="1017"/>
    <d v="2025-01-16T00:00:00"/>
    <x v="0"/>
    <x v="0"/>
    <x v="0"/>
    <x v="0"/>
    <x v="2"/>
    <n v="5"/>
    <n v="1800"/>
    <n v="9000"/>
  </r>
  <r>
    <n v="1018"/>
    <d v="2025-01-17T00:00:00"/>
    <x v="1"/>
    <x v="1"/>
    <x v="1"/>
    <x v="1"/>
    <x v="5"/>
    <n v="4"/>
    <n v="5000"/>
    <n v="20000"/>
  </r>
  <r>
    <n v="1019"/>
    <d v="2025-01-18T00:00:00"/>
    <x v="2"/>
    <x v="2"/>
    <x v="2"/>
    <x v="2"/>
    <x v="3"/>
    <n v="7"/>
    <n v="2200"/>
    <n v="15400"/>
  </r>
  <r>
    <n v="1020"/>
    <d v="2025-01-19T00:00:00"/>
    <x v="3"/>
    <x v="3"/>
    <x v="3"/>
    <x v="0"/>
    <x v="7"/>
    <n v="3"/>
    <n v="6000"/>
    <n v="18000"/>
  </r>
  <r>
    <n v="1021"/>
    <d v="2025-01-20T00:00:00"/>
    <x v="0"/>
    <x v="0"/>
    <x v="4"/>
    <x v="1"/>
    <x v="8"/>
    <n v="8"/>
    <n v="1500"/>
    <n v="12000"/>
  </r>
  <r>
    <n v="1022"/>
    <d v="2025-01-21T00:00:00"/>
    <x v="1"/>
    <x v="1"/>
    <x v="5"/>
    <x v="2"/>
    <x v="9"/>
    <n v="11"/>
    <n v="1700"/>
    <n v="18700"/>
  </r>
  <r>
    <n v="2023"/>
    <d v="2025-01-27T00:00:00"/>
    <x v="2"/>
    <x v="2"/>
    <x v="5"/>
    <x v="1"/>
    <x v="1"/>
    <n v="2"/>
    <n v="3500"/>
    <n v="7000"/>
  </r>
  <r>
    <n v="2024"/>
    <d v="2025-01-28T00:00:00"/>
    <x v="0"/>
    <x v="0"/>
    <x v="2"/>
    <x v="0"/>
    <x v="4"/>
    <n v="6"/>
    <n v="2000"/>
    <n v="12000"/>
  </r>
  <r>
    <n v="2025"/>
    <d v="2025-01-29T00:00:00"/>
    <x v="3"/>
    <x v="3"/>
    <x v="7"/>
    <x v="2"/>
    <x v="13"/>
    <n v="5"/>
    <n v="1800"/>
    <n v="9000"/>
  </r>
  <r>
    <n v="2026"/>
    <d v="2025-01-30T00:00:00"/>
    <x v="1"/>
    <x v="1"/>
    <x v="0"/>
    <x v="0"/>
    <x v="2"/>
    <n v="4"/>
    <n v="1500"/>
    <n v="6000"/>
  </r>
  <r>
    <n v="2027"/>
    <d v="2025-01-31T00:00:00"/>
    <x v="2"/>
    <x v="2"/>
    <x v="3"/>
    <x v="1"/>
    <x v="5"/>
    <n v="3"/>
    <n v="5000"/>
    <n v="15000"/>
  </r>
  <r>
    <n v="2028"/>
    <d v="2025-02-01T00:00:00"/>
    <x v="0"/>
    <x v="0"/>
    <x v="4"/>
    <x v="2"/>
    <x v="9"/>
    <n v="10"/>
    <n v="1700"/>
    <n v="17000"/>
  </r>
  <r>
    <n v="2029"/>
    <d v="2025-02-02T00:00:00"/>
    <x v="3"/>
    <x v="3"/>
    <x v="5"/>
    <x v="0"/>
    <x v="0"/>
    <n v="9"/>
    <n v="1200"/>
    <n v="10800"/>
  </r>
  <r>
    <n v="2030"/>
    <d v="2025-02-03T00:00:00"/>
    <x v="1"/>
    <x v="1"/>
    <x v="2"/>
    <x v="1"/>
    <x v="8"/>
    <n v="6"/>
    <n v="1500"/>
    <n v="9000"/>
  </r>
  <r>
    <n v="2031"/>
    <d v="2025-02-04T00:00:00"/>
    <x v="2"/>
    <x v="2"/>
    <x v="1"/>
    <x v="0"/>
    <x v="7"/>
    <n v="2"/>
    <n v="4000"/>
    <n v="8000"/>
  </r>
  <r>
    <n v="2032"/>
    <d v="2025-02-05T00:00:00"/>
    <x v="0"/>
    <x v="0"/>
    <x v="6"/>
    <x v="2"/>
    <x v="14"/>
    <n v="7"/>
    <n v="900"/>
    <n v="6300"/>
  </r>
  <r>
    <n v="2033"/>
    <d v="2025-02-06T00:00:00"/>
    <x v="3"/>
    <x v="3"/>
    <x v="3"/>
    <x v="1"/>
    <x v="15"/>
    <n v="4"/>
    <n v="2800"/>
    <n v="11200"/>
  </r>
  <r>
    <n v="2034"/>
    <d v="2025-02-07T00:00:00"/>
    <x v="1"/>
    <x v="1"/>
    <x v="4"/>
    <x v="0"/>
    <x v="10"/>
    <n v="1"/>
    <n v="22000"/>
    <n v="22000"/>
  </r>
  <r>
    <n v="2035"/>
    <d v="2025-02-08T00:00:00"/>
    <x v="2"/>
    <x v="2"/>
    <x v="0"/>
    <x v="1"/>
    <x v="11"/>
    <n v="5"/>
    <n v="3200"/>
    <n v="16000"/>
  </r>
  <r>
    <n v="2036"/>
    <d v="2025-02-09T00:00:00"/>
    <x v="0"/>
    <x v="0"/>
    <x v="7"/>
    <x v="0"/>
    <x v="16"/>
    <n v="2"/>
    <n v="95000"/>
    <n v="190000"/>
  </r>
  <r>
    <n v="2037"/>
    <d v="2025-02-10T00:00:00"/>
    <x v="3"/>
    <x v="3"/>
    <x v="2"/>
    <x v="2"/>
    <x v="12"/>
    <n v="6"/>
    <n v="1400"/>
    <n v="8400"/>
  </r>
  <r>
    <n v="2038"/>
    <d v="2025-02-11T00:00:00"/>
    <x v="1"/>
    <x v="1"/>
    <x v="5"/>
    <x v="1"/>
    <x v="17"/>
    <n v="9"/>
    <n v="800"/>
    <n v="7200"/>
  </r>
  <r>
    <n v="2039"/>
    <d v="2025-02-12T00:00:00"/>
    <x v="2"/>
    <x v="2"/>
    <x v="6"/>
    <x v="0"/>
    <x v="18"/>
    <n v="3"/>
    <n v="18000"/>
    <n v="54000"/>
  </r>
  <r>
    <n v="2040"/>
    <d v="2025-02-13T00:00:00"/>
    <x v="0"/>
    <x v="0"/>
    <x v="1"/>
    <x v="2"/>
    <x v="6"/>
    <n v="5"/>
    <n v="2200"/>
    <n v="11000"/>
  </r>
  <r>
    <n v="2041"/>
    <d v="2025-02-14T00:00:00"/>
    <x v="3"/>
    <x v="3"/>
    <x v="4"/>
    <x v="1"/>
    <x v="1"/>
    <n v="2"/>
    <n v="3500"/>
    <n v="7000"/>
  </r>
  <r>
    <n v="2042"/>
    <d v="2025-02-15T00:00:00"/>
    <x v="1"/>
    <x v="1"/>
    <x v="3"/>
    <x v="0"/>
    <x v="19"/>
    <n v="1"/>
    <n v="45000"/>
    <n v="45000"/>
  </r>
  <r>
    <n v="2043"/>
    <d v="2025-02-16T00:00:00"/>
    <x v="2"/>
    <x v="2"/>
    <x v="0"/>
    <x v="2"/>
    <x v="9"/>
    <n v="8"/>
    <n v="1700"/>
    <n v="13600"/>
  </r>
  <r>
    <n v="2044"/>
    <d v="2025-02-17T00:00:00"/>
    <x v="0"/>
    <x v="0"/>
    <x v="2"/>
    <x v="1"/>
    <x v="20"/>
    <n v="10"/>
    <n v="300"/>
    <n v="3000"/>
  </r>
  <r>
    <n v="2045"/>
    <d v="2025-02-18T00:00:00"/>
    <x v="3"/>
    <x v="3"/>
    <x v="7"/>
    <x v="0"/>
    <x v="21"/>
    <n v="1"/>
    <n v="75000"/>
    <n v="75000"/>
  </r>
  <r>
    <n v="2046"/>
    <d v="2025-02-19T00:00:00"/>
    <x v="1"/>
    <x v="1"/>
    <x v="6"/>
    <x v="1"/>
    <x v="15"/>
    <n v="3"/>
    <n v="2800"/>
    <n v="8400"/>
  </r>
  <r>
    <n v="2047"/>
    <d v="2025-02-20T00:00:00"/>
    <x v="2"/>
    <x v="2"/>
    <x v="1"/>
    <x v="0"/>
    <x v="10"/>
    <n v="2"/>
    <n v="22000"/>
    <n v="44000"/>
  </r>
  <r>
    <n v="2048"/>
    <d v="2025-02-21T00:00:00"/>
    <x v="0"/>
    <x v="0"/>
    <x v="5"/>
    <x v="2"/>
    <x v="13"/>
    <n v="6"/>
    <n v="1800"/>
    <n v="10800"/>
  </r>
  <r>
    <n v="2049"/>
    <d v="2025-02-22T00:00:00"/>
    <x v="3"/>
    <x v="3"/>
    <x v="3"/>
    <x v="1"/>
    <x v="5"/>
    <n v="4"/>
    <n v="5000"/>
    <n v="20000"/>
  </r>
  <r>
    <n v="2050"/>
    <d v="2025-02-23T00:00:00"/>
    <x v="1"/>
    <x v="1"/>
    <x v="4"/>
    <x v="0"/>
    <x v="2"/>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80F662-A53E-46B6-B726-DA4379A2EA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8" firstHeaderRow="0" firstDataRow="1" firstDataCol="1"/>
  <pivotFields count="10">
    <pivotField showAll="0"/>
    <pivotField numFmtId="14" showAll="0"/>
    <pivotField axis="axisRow" showAll="0">
      <items count="5">
        <item x="3"/>
        <item x="0"/>
        <item x="1"/>
        <item x="2"/>
        <item t="default"/>
      </items>
    </pivotField>
    <pivotField showAll="0"/>
    <pivotField showAll="0"/>
    <pivotField showAll="0"/>
    <pivotField showAll="0"/>
    <pivotField dataField="1" showAll="0"/>
    <pivotField showAll="0"/>
    <pivotField dataField="1" showAll="0"/>
  </pivotFields>
  <rowFields count="1">
    <field x="2"/>
  </rowFields>
  <rowItems count="5">
    <i>
      <x/>
    </i>
    <i>
      <x v="1"/>
    </i>
    <i>
      <x v="2"/>
    </i>
    <i>
      <x v="3"/>
    </i>
    <i t="grand">
      <x/>
    </i>
  </rowItems>
  <colFields count="1">
    <field x="-2"/>
  </colFields>
  <colItems count="2">
    <i>
      <x/>
    </i>
    <i i="1">
      <x v="1"/>
    </i>
  </colItems>
  <dataFields count="2">
    <dataField name="Sum of Total Sales" fld="9" baseField="0" baseItem="0"/>
    <dataField name="Sum of Quantity" fld="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0DFC1F-A11A-474A-92B6-7D3E04A4CD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B13" firstHeaderRow="1" firstDataRow="1" firstDataCol="1"/>
  <pivotFields count="10">
    <pivotField showAll="0"/>
    <pivotField numFmtId="14" showAll="0"/>
    <pivotField showAll="0">
      <items count="5">
        <item x="3"/>
        <item x="0"/>
        <item x="1"/>
        <item x="2"/>
        <item t="default"/>
      </items>
    </pivotField>
    <pivotField showAll="0"/>
    <pivotField showAll="0"/>
    <pivotField axis="axisRow" showAll="0">
      <items count="4">
        <item x="1"/>
        <item x="0"/>
        <item x="2"/>
        <item t="default"/>
      </items>
    </pivotField>
    <pivotField dataField="1" showAll="0">
      <items count="23">
        <item x="21"/>
        <item x="17"/>
        <item x="12"/>
        <item x="4"/>
        <item x="15"/>
        <item x="1"/>
        <item x="11"/>
        <item x="2"/>
        <item x="16"/>
        <item x="10"/>
        <item x="0"/>
        <item x="6"/>
        <item x="18"/>
        <item x="3"/>
        <item x="13"/>
        <item x="5"/>
        <item x="20"/>
        <item x="7"/>
        <item x="9"/>
        <item x="19"/>
        <item x="14"/>
        <item x="8"/>
        <item t="default"/>
      </items>
    </pivotField>
    <pivotField showAll="0"/>
    <pivotField showAll="0"/>
    <pivotField showAll="0"/>
  </pivotFields>
  <rowFields count="1">
    <field x="5"/>
  </rowFields>
  <rowItems count="4">
    <i>
      <x/>
    </i>
    <i>
      <x v="1"/>
    </i>
    <i>
      <x v="2"/>
    </i>
    <i t="grand">
      <x/>
    </i>
  </rowItems>
  <colItems count="1">
    <i/>
  </colItems>
  <dataFields count="1">
    <dataField name="Count of Product" fld="6"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E02FEB-F75C-4348-A562-9DC1A597D7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43:E66" firstHeaderRow="1" firstDataRow="1" firstDataCol="1"/>
  <pivotFields count="10">
    <pivotField showAll="0"/>
    <pivotField numFmtId="14" showAll="0"/>
    <pivotField showAll="0">
      <items count="5">
        <item x="3"/>
        <item x="0"/>
        <item x="1"/>
        <item x="2"/>
        <item t="default"/>
      </items>
    </pivotField>
    <pivotField showAll="0">
      <items count="5">
        <item x="3"/>
        <item x="0"/>
        <item x="1"/>
        <item x="2"/>
        <item t="default"/>
      </items>
    </pivotField>
    <pivotField showAll="0">
      <items count="9">
        <item x="2"/>
        <item x="0"/>
        <item x="5"/>
        <item x="4"/>
        <item x="3"/>
        <item x="1"/>
        <item x="6"/>
        <item x="7"/>
        <item t="default"/>
      </items>
    </pivotField>
    <pivotField showAll="0">
      <items count="4">
        <item x="1"/>
        <item x="0"/>
        <item x="2"/>
        <item t="default"/>
      </items>
    </pivotField>
    <pivotField axis="axisRow" showAll="0">
      <items count="23">
        <item x="21"/>
        <item x="17"/>
        <item x="12"/>
        <item x="4"/>
        <item x="15"/>
        <item x="1"/>
        <item x="11"/>
        <item x="2"/>
        <item x="16"/>
        <item x="10"/>
        <item x="0"/>
        <item x="6"/>
        <item x="18"/>
        <item x="3"/>
        <item x="13"/>
        <item x="5"/>
        <item x="20"/>
        <item x="7"/>
        <item x="9"/>
        <item x="19"/>
        <item x="14"/>
        <item x="8"/>
        <item t="default"/>
      </items>
    </pivotField>
    <pivotField dataField="1" showAll="0"/>
    <pivotField showAll="0"/>
    <pivotField showAll="0"/>
  </pivotFields>
  <rowFields count="1">
    <field x="6"/>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Quantity" fld="7" baseField="0" baseItem="0"/>
  </dataFields>
  <conditionalFormats count="1">
    <conditionalFormat priority="1">
      <pivotAreas count="1">
        <pivotArea type="data" collapsedLevelsAreSubtotals="1" fieldPosition="0">
          <references count="2">
            <reference field="4294967294" count="1" selected="0">
              <x v="0"/>
            </reference>
            <reference field="6" count="22">
              <x v="0"/>
              <x v="1"/>
              <x v="2"/>
              <x v="3"/>
              <x v="4"/>
              <x v="5"/>
              <x v="6"/>
              <x v="7"/>
              <x v="8"/>
              <x v="9"/>
              <x v="10"/>
              <x v="11"/>
              <x v="12"/>
              <x v="13"/>
              <x v="14"/>
              <x v="15"/>
              <x v="16"/>
              <x v="17"/>
              <x v="18"/>
              <x v="19"/>
              <x v="20"/>
              <x v="2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F5342E-D34F-4999-9796-BB37F0594DF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27:H31" firstHeaderRow="0" firstDataRow="1" firstDataCol="1"/>
  <pivotFields count="10">
    <pivotField showAll="0"/>
    <pivotField numFmtId="14" showAll="0"/>
    <pivotField showAll="0">
      <items count="5">
        <item x="3"/>
        <item x="0"/>
        <item x="1"/>
        <item x="2"/>
        <item t="default"/>
      </items>
    </pivotField>
    <pivotField dataField="1" showAll="0">
      <items count="5">
        <item x="3"/>
        <item x="0"/>
        <item x="1"/>
        <item x="2"/>
        <item t="default"/>
      </items>
    </pivotField>
    <pivotField showAll="0">
      <items count="9">
        <item x="2"/>
        <item x="0"/>
        <item x="5"/>
        <item x="4"/>
        <item x="3"/>
        <item x="1"/>
        <item x="6"/>
        <item x="7"/>
        <item t="default"/>
      </items>
    </pivotField>
    <pivotField axis="axisRow" showAll="0">
      <items count="4">
        <item x="1"/>
        <item x="0"/>
        <item x="2"/>
        <item t="default"/>
      </items>
    </pivotField>
    <pivotField showAll="0">
      <items count="23">
        <item x="21"/>
        <item x="17"/>
        <item x="12"/>
        <item x="4"/>
        <item x="15"/>
        <item x="1"/>
        <item x="11"/>
        <item x="2"/>
        <item x="16"/>
        <item x="10"/>
        <item x="0"/>
        <item x="6"/>
        <item x="18"/>
        <item x="3"/>
        <item x="13"/>
        <item x="5"/>
        <item x="20"/>
        <item x="7"/>
        <item x="9"/>
        <item x="19"/>
        <item x="14"/>
        <item x="8"/>
        <item t="default"/>
      </items>
    </pivotField>
    <pivotField showAll="0"/>
    <pivotField showAll="0"/>
    <pivotField dataField="1" showAll="0"/>
  </pivotFields>
  <rowFields count="1">
    <field x="5"/>
  </rowFields>
  <rowItems count="4">
    <i>
      <x/>
    </i>
    <i>
      <x v="1"/>
    </i>
    <i>
      <x v="2"/>
    </i>
    <i t="grand">
      <x/>
    </i>
  </rowItems>
  <colFields count="1">
    <field x="-2"/>
  </colFields>
  <colItems count="2">
    <i>
      <x/>
    </i>
    <i i="1">
      <x v="1"/>
    </i>
  </colItems>
  <dataFields count="2">
    <dataField name="Count of Region (trim)" fld="3" subtotal="count" baseField="0" baseItem="0"/>
    <dataField name="Sum of Total Sales" fld="9"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 chart="0" format="5">
      <pivotArea type="data" outline="0" fieldPosition="0">
        <references count="2">
          <reference field="4294967294" count="1" selected="0">
            <x v="1"/>
          </reference>
          <reference field="5" count="1" selected="0">
            <x v="0"/>
          </reference>
        </references>
      </pivotArea>
    </chartFormat>
    <chartFormat chart="0" format="6">
      <pivotArea type="data" outline="0" fieldPosition="0">
        <references count="2">
          <reference field="4294967294" count="1" selected="0">
            <x v="1"/>
          </reference>
          <reference field="5" count="1" selected="0">
            <x v="1"/>
          </reference>
        </references>
      </pivotArea>
    </chartFormat>
    <chartFormat chart="0" format="7">
      <pivotArea type="data" outline="0" fieldPosition="0">
        <references count="2">
          <reference field="4294967294" count="1" selected="0">
            <x v="1"/>
          </reference>
          <reference field="5" count="1" selected="0">
            <x v="2"/>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5" count="1" selected="0">
            <x v="0"/>
          </reference>
        </references>
      </pivotArea>
    </chartFormat>
    <chartFormat chart="3" format="18">
      <pivotArea type="data" outline="0" fieldPosition="0">
        <references count="2">
          <reference field="4294967294" count="1" selected="0">
            <x v="0"/>
          </reference>
          <reference field="5" count="1" selected="0">
            <x v="1"/>
          </reference>
        </references>
      </pivotArea>
    </chartFormat>
    <chartFormat chart="3" format="19">
      <pivotArea type="data" outline="0" fieldPosition="0">
        <references count="2">
          <reference field="4294967294" count="1" selected="0">
            <x v="0"/>
          </reference>
          <reference field="5" count="1" selected="0">
            <x v="2"/>
          </reference>
        </references>
      </pivotArea>
    </chartFormat>
    <chartFormat chart="3" format="20" series="1">
      <pivotArea type="data" outline="0" fieldPosition="0">
        <references count="1">
          <reference field="4294967294" count="1" selected="0">
            <x v="1"/>
          </reference>
        </references>
      </pivotArea>
    </chartFormat>
    <chartFormat chart="3" format="21">
      <pivotArea type="data" outline="0" fieldPosition="0">
        <references count="2">
          <reference field="4294967294" count="1" selected="0">
            <x v="1"/>
          </reference>
          <reference field="5" count="1" selected="0">
            <x v="0"/>
          </reference>
        </references>
      </pivotArea>
    </chartFormat>
    <chartFormat chart="3" format="22">
      <pivotArea type="data" outline="0" fieldPosition="0">
        <references count="2">
          <reference field="4294967294" count="1" selected="0">
            <x v="1"/>
          </reference>
          <reference field="5" count="1" selected="0">
            <x v="1"/>
          </reference>
        </references>
      </pivotArea>
    </chartFormat>
    <chartFormat chart="3" format="23">
      <pivotArea type="data" outline="0" fieldPosition="0">
        <references count="2">
          <reference field="4294967294"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4EBA90-4C71-4049-9E49-1FC5B3A781D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5:E24" firstHeaderRow="0" firstDataRow="1" firstDataCol="1"/>
  <pivotFields count="10">
    <pivotField showAll="0"/>
    <pivotField numFmtId="14" showAll="0"/>
    <pivotField showAll="0">
      <items count="5">
        <item x="3"/>
        <item x="0"/>
        <item x="1"/>
        <item x="2"/>
        <item t="default"/>
      </items>
    </pivotField>
    <pivotField showAll="0"/>
    <pivotField axis="axisRow" showAll="0">
      <items count="9">
        <item x="2"/>
        <item x="0"/>
        <item x="5"/>
        <item x="4"/>
        <item x="3"/>
        <item x="1"/>
        <item x="6"/>
        <item x="7"/>
        <item t="default"/>
      </items>
    </pivotField>
    <pivotField showAll="0"/>
    <pivotField showAll="0"/>
    <pivotField dataField="1" showAll="0"/>
    <pivotField dataField="1" showAll="0"/>
    <pivotField dataField="1" showAll="0"/>
  </pivotFields>
  <rowFields count="1">
    <field x="4"/>
  </rowFields>
  <rowItems count="9">
    <i>
      <x/>
    </i>
    <i>
      <x v="1"/>
    </i>
    <i>
      <x v="2"/>
    </i>
    <i>
      <x v="3"/>
    </i>
    <i>
      <x v="4"/>
    </i>
    <i>
      <x v="5"/>
    </i>
    <i>
      <x v="6"/>
    </i>
    <i>
      <x v="7"/>
    </i>
    <i t="grand">
      <x/>
    </i>
  </rowItems>
  <colFields count="1">
    <field x="-2"/>
  </colFields>
  <colItems count="3">
    <i>
      <x/>
    </i>
    <i i="1">
      <x v="1"/>
    </i>
    <i i="2">
      <x v="2"/>
    </i>
  </colItems>
  <dataFields count="3">
    <dataField name="Sum of Quantity" fld="7" baseField="0" baseItem="0"/>
    <dataField name="Sum of Total Sales" fld="9" baseField="0" baseItem="0"/>
    <dataField name="Sum of Unit Price" fld="8"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E05949-C827-4A96-88CE-255B004465BF}" sourceName="Region">
  <pivotTables>
    <pivotTable tabId="4" name="PivotTable4"/>
    <pivotTable tabId="3" name="PivotTable3"/>
    <pivotTable tabId="5" name="PivotTable5"/>
    <pivotTable tabId="6" name="PivotTable1"/>
    <pivotTable tabId="4" name="PivotTable1"/>
  </pivotTables>
  <data>
    <tabular pivotCacheId="2055009951">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E8FF165-5C5D-4142-AEA0-C1A9C7C05806}" cache="Slicer_Region" caption="Region"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82AF58-1C5B-4B47-AD05-74A6F8B63237}" name="Table1" displayName="Table1" ref="A1:I51" totalsRowShown="0" headerRowDxfId="3" headerRowBorderDxfId="2" tableBorderDxfId="1">
  <autoFilter ref="A1:I51" xr:uid="{F782AF58-1C5B-4B47-AD05-74A6F8B63237}"/>
  <tableColumns count="9">
    <tableColumn id="1" xr3:uid="{0EFB1736-E3E0-463B-BBE4-05727F62E27D}" name="Order ID"/>
    <tableColumn id="2" xr3:uid="{46203118-9918-4448-AC4B-FCBE52065BF3}" name="Date" dataDxfId="0"/>
    <tableColumn id="4" xr3:uid="{91AA608B-641E-4C71-8936-D1F961E7C0BF}" name="Region (trim)"/>
    <tableColumn id="5" xr3:uid="{9245C9C2-6D1B-4344-94D3-622D90700627}" name="Salesperson"/>
    <tableColumn id="6" xr3:uid="{EE6D3E7F-8573-475A-80C5-79840F27CCC4}" name="Category"/>
    <tableColumn id="7" xr3:uid="{D6379E97-3922-4BE6-ADD4-EB0617D9CCEE}" name="Product"/>
    <tableColumn id="8" xr3:uid="{0F8FB993-F478-4186-87EF-5125773A70F1}" name="Quantity"/>
    <tableColumn id="9" xr3:uid="{29072413-A9BE-4568-9C7D-7E6FD0788B61}" name="Unit Price"/>
    <tableColumn id="10" xr3:uid="{54CE6525-2F03-4954-943C-A6B225B95E64}" name="Total Sales">
      <calculatedColumnFormula>Table1[[#This Row],[Unit Price]]*Table1[[#This Row],[Quantity]]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8C10F-C279-4A61-9DDC-A9CCF9ADECFE}">
  <dimension ref="A3:C8"/>
  <sheetViews>
    <sheetView workbookViewId="0">
      <selection activeCell="J13" sqref="J13"/>
    </sheetView>
  </sheetViews>
  <sheetFormatPr defaultRowHeight="15" x14ac:dyDescent="0.25"/>
  <cols>
    <col min="1" max="1" width="13.140625" bestFit="1" customWidth="1"/>
    <col min="2" max="2" width="17.28515625" bestFit="1" customWidth="1"/>
    <col min="3" max="3" width="15.42578125" bestFit="1" customWidth="1"/>
  </cols>
  <sheetData>
    <row r="3" spans="1:3" x14ac:dyDescent="0.25">
      <c r="A3" s="6" t="s">
        <v>49</v>
      </c>
      <c r="B3" t="s">
        <v>46</v>
      </c>
      <c r="C3" t="s">
        <v>47</v>
      </c>
    </row>
    <row r="4" spans="1:3" x14ac:dyDescent="0.25">
      <c r="A4" s="7" t="s">
        <v>20</v>
      </c>
      <c r="B4" s="9">
        <v>219100</v>
      </c>
      <c r="C4" s="9">
        <v>55</v>
      </c>
    </row>
    <row r="5" spans="1:3" x14ac:dyDescent="0.25">
      <c r="A5" s="7" t="s">
        <v>9</v>
      </c>
      <c r="B5" s="9">
        <v>321500</v>
      </c>
      <c r="C5" s="9">
        <v>89</v>
      </c>
    </row>
    <row r="6" spans="1:3" x14ac:dyDescent="0.25">
      <c r="A6" s="7" t="s">
        <v>13</v>
      </c>
      <c r="B6" s="9">
        <v>193000</v>
      </c>
      <c r="C6" s="9">
        <v>65</v>
      </c>
    </row>
    <row r="7" spans="1:3" x14ac:dyDescent="0.25">
      <c r="A7" s="7" t="s">
        <v>17</v>
      </c>
      <c r="B7" s="9">
        <v>274400</v>
      </c>
      <c r="C7" s="9">
        <v>49</v>
      </c>
    </row>
    <row r="8" spans="1:3" x14ac:dyDescent="0.25">
      <c r="A8" s="7" t="s">
        <v>50</v>
      </c>
      <c r="B8" s="9">
        <v>1008000</v>
      </c>
      <c r="C8" s="9">
        <v>258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workbookViewId="0">
      <selection activeCell="N26" sqref="N26"/>
    </sheetView>
  </sheetViews>
  <sheetFormatPr defaultRowHeight="15" x14ac:dyDescent="0.25"/>
  <cols>
    <col min="1" max="1" width="10.5703125" customWidth="1"/>
    <col min="2" max="2" width="18.140625" style="2" customWidth="1"/>
    <col min="3" max="3" width="14.85546875" customWidth="1"/>
    <col min="4" max="4" width="13.85546875" customWidth="1"/>
    <col min="5" max="5" width="11" customWidth="1"/>
    <col min="6" max="6" width="10" customWidth="1"/>
    <col min="7" max="7" width="10.85546875" customWidth="1"/>
    <col min="8" max="8" width="11.85546875" customWidth="1"/>
    <col min="9" max="9" width="12.5703125" customWidth="1"/>
  </cols>
  <sheetData>
    <row r="1" spans="1:9" x14ac:dyDescent="0.25">
      <c r="A1" s="3" t="s">
        <v>0</v>
      </c>
      <c r="B1" s="4" t="s">
        <v>1</v>
      </c>
      <c r="C1" s="5" t="s">
        <v>48</v>
      </c>
      <c r="D1" s="3" t="s">
        <v>3</v>
      </c>
      <c r="E1" s="3" t="s">
        <v>4</v>
      </c>
      <c r="F1" s="3" t="s">
        <v>5</v>
      </c>
      <c r="G1" s="3" t="s">
        <v>6</v>
      </c>
      <c r="H1" s="3" t="s">
        <v>7</v>
      </c>
      <c r="I1" s="3" t="s">
        <v>8</v>
      </c>
    </row>
    <row r="2" spans="1:9" x14ac:dyDescent="0.25">
      <c r="A2">
        <v>1001</v>
      </c>
      <c r="B2" s="2">
        <v>45658</v>
      </c>
      <c r="C2" t="s">
        <v>9</v>
      </c>
      <c r="D2" t="s">
        <v>10</v>
      </c>
      <c r="E2" t="s">
        <v>11</v>
      </c>
      <c r="F2" t="s">
        <v>12</v>
      </c>
      <c r="G2">
        <v>5</v>
      </c>
      <c r="H2">
        <v>1200</v>
      </c>
      <c r="I2">
        <f>Table1[[#This Row],[Unit Price]]*Table1[[#This Row],[Quantity]]</f>
        <v>6000</v>
      </c>
    </row>
    <row r="3" spans="1:9" x14ac:dyDescent="0.25">
      <c r="A3">
        <v>1002</v>
      </c>
      <c r="B3" s="2">
        <v>45659</v>
      </c>
      <c r="C3" t="s">
        <v>13</v>
      </c>
      <c r="D3" t="s">
        <v>14</v>
      </c>
      <c r="E3" t="s">
        <v>15</v>
      </c>
      <c r="F3" t="s">
        <v>16</v>
      </c>
      <c r="G3">
        <v>2</v>
      </c>
      <c r="H3">
        <v>4500</v>
      </c>
      <c r="I3">
        <f>Table1[[#This Row],[Unit Price]]*Table1[[#This Row],[Quantity]]</f>
        <v>9000</v>
      </c>
    </row>
    <row r="4" spans="1:9" x14ac:dyDescent="0.25">
      <c r="A4">
        <v>1003</v>
      </c>
      <c r="B4" s="2">
        <v>45689</v>
      </c>
      <c r="C4" t="s">
        <v>17</v>
      </c>
      <c r="D4" t="s">
        <v>18</v>
      </c>
      <c r="E4" t="s">
        <v>11</v>
      </c>
      <c r="F4" t="s">
        <v>19</v>
      </c>
      <c r="G4">
        <v>4</v>
      </c>
      <c r="H4">
        <v>1800</v>
      </c>
      <c r="I4">
        <f>Table1[[#This Row],[Unit Price]]*Table1[[#This Row],[Quantity]]</f>
        <v>7200</v>
      </c>
    </row>
    <row r="5" spans="1:9" x14ac:dyDescent="0.25">
      <c r="A5">
        <v>1004</v>
      </c>
      <c r="B5" s="2">
        <v>45660</v>
      </c>
      <c r="C5" t="s">
        <v>20</v>
      </c>
      <c r="D5" t="s">
        <v>21</v>
      </c>
      <c r="E5" t="s">
        <v>22</v>
      </c>
      <c r="F5" t="s">
        <v>23</v>
      </c>
      <c r="G5">
        <v>8</v>
      </c>
      <c r="H5">
        <v>2200</v>
      </c>
      <c r="I5">
        <f>Table1[[#This Row],[Unit Price]]*Table1[[#This Row],[Quantity]]</f>
        <v>17600</v>
      </c>
    </row>
    <row r="6" spans="1:9" x14ac:dyDescent="0.25">
      <c r="A6">
        <v>1005</v>
      </c>
      <c r="B6" s="2">
        <v>45661</v>
      </c>
      <c r="C6" t="s">
        <v>9</v>
      </c>
      <c r="D6" t="s">
        <v>24</v>
      </c>
      <c r="E6" t="s">
        <v>11</v>
      </c>
      <c r="F6" t="s">
        <v>25</v>
      </c>
      <c r="G6">
        <v>6</v>
      </c>
      <c r="H6">
        <v>2500</v>
      </c>
      <c r="I6">
        <f>Table1[[#This Row],[Unit Price]]*Table1[[#This Row],[Quantity]]</f>
        <v>15000</v>
      </c>
    </row>
    <row r="7" spans="1:9" x14ac:dyDescent="0.25">
      <c r="A7">
        <v>1006</v>
      </c>
      <c r="B7" s="2">
        <v>45662</v>
      </c>
      <c r="C7" t="s">
        <v>13</v>
      </c>
      <c r="D7" t="s">
        <v>26</v>
      </c>
      <c r="E7" t="s">
        <v>15</v>
      </c>
      <c r="F7" t="s">
        <v>27</v>
      </c>
      <c r="G7">
        <v>3</v>
      </c>
      <c r="H7">
        <v>5000</v>
      </c>
      <c r="I7">
        <f>Table1[[#This Row],[Unit Price]]*Table1[[#This Row],[Quantity]]</f>
        <v>15000</v>
      </c>
    </row>
    <row r="8" spans="1:9" x14ac:dyDescent="0.25">
      <c r="A8">
        <v>1007</v>
      </c>
      <c r="B8" s="2">
        <v>45663</v>
      </c>
      <c r="C8" t="s">
        <v>17</v>
      </c>
      <c r="D8" t="s">
        <v>28</v>
      </c>
      <c r="E8" t="s">
        <v>22</v>
      </c>
      <c r="F8" t="s">
        <v>29</v>
      </c>
      <c r="G8">
        <v>7</v>
      </c>
      <c r="H8">
        <v>2100</v>
      </c>
      <c r="I8">
        <f>Table1[[#This Row],[Unit Price]]*Table1[[#This Row],[Quantity]]</f>
        <v>14700</v>
      </c>
    </row>
    <row r="9" spans="1:9" x14ac:dyDescent="0.25">
      <c r="A9">
        <v>1008</v>
      </c>
      <c r="B9" s="2">
        <v>45664</v>
      </c>
      <c r="C9" t="s">
        <v>20</v>
      </c>
      <c r="D9" t="s">
        <v>30</v>
      </c>
      <c r="E9" t="s">
        <v>11</v>
      </c>
      <c r="F9" t="s">
        <v>31</v>
      </c>
      <c r="G9">
        <v>2</v>
      </c>
      <c r="H9">
        <v>6000</v>
      </c>
      <c r="I9">
        <f>Table1[[#This Row],[Unit Price]]*Table1[[#This Row],[Quantity]]</f>
        <v>12000</v>
      </c>
    </row>
    <row r="10" spans="1:9" x14ac:dyDescent="0.25">
      <c r="A10">
        <v>1009</v>
      </c>
      <c r="B10" s="2">
        <v>45665</v>
      </c>
      <c r="C10" t="s">
        <v>9</v>
      </c>
      <c r="D10" t="s">
        <v>10</v>
      </c>
      <c r="E10" t="s">
        <v>15</v>
      </c>
      <c r="F10" t="s">
        <v>32</v>
      </c>
      <c r="G10">
        <v>10</v>
      </c>
      <c r="H10">
        <v>1500</v>
      </c>
      <c r="I10">
        <f>Table1[[#This Row],[Unit Price]]*Table1[[#This Row],[Quantity]]</f>
        <v>15000</v>
      </c>
    </row>
    <row r="11" spans="1:9" x14ac:dyDescent="0.25">
      <c r="A11">
        <v>1010</v>
      </c>
      <c r="B11" s="2">
        <v>45666</v>
      </c>
      <c r="C11" t="s">
        <v>13</v>
      </c>
      <c r="D11" t="s">
        <v>14</v>
      </c>
      <c r="E11" t="s">
        <v>22</v>
      </c>
      <c r="F11" t="s">
        <v>33</v>
      </c>
      <c r="G11">
        <v>12</v>
      </c>
      <c r="H11">
        <v>1700</v>
      </c>
      <c r="I11">
        <f>Table1[[#This Row],[Unit Price]]*Table1[[#This Row],[Quantity]]</f>
        <v>20400</v>
      </c>
    </row>
    <row r="12" spans="1:9" x14ac:dyDescent="0.25">
      <c r="A12">
        <v>1011</v>
      </c>
      <c r="B12" s="2">
        <v>45667</v>
      </c>
      <c r="C12" t="s">
        <v>17</v>
      </c>
      <c r="D12" t="s">
        <v>18</v>
      </c>
      <c r="E12" t="s">
        <v>11</v>
      </c>
      <c r="F12" t="s">
        <v>34</v>
      </c>
      <c r="G12">
        <v>3</v>
      </c>
      <c r="H12">
        <v>22000</v>
      </c>
      <c r="I12">
        <f>Table1[[#This Row],[Unit Price]]*Table1[[#This Row],[Quantity]]</f>
        <v>66000</v>
      </c>
    </row>
    <row r="13" spans="1:9" x14ac:dyDescent="0.25">
      <c r="A13">
        <v>1012</v>
      </c>
      <c r="B13" s="2">
        <v>45668</v>
      </c>
      <c r="C13" t="s">
        <v>20</v>
      </c>
      <c r="D13" t="s">
        <v>21</v>
      </c>
      <c r="E13" t="s">
        <v>15</v>
      </c>
      <c r="F13" t="s">
        <v>35</v>
      </c>
      <c r="G13">
        <v>5</v>
      </c>
      <c r="H13">
        <v>3500</v>
      </c>
      <c r="I13">
        <f>Table1[[#This Row],[Unit Price]]*Table1[[#This Row],[Quantity]]</f>
        <v>17500</v>
      </c>
    </row>
    <row r="14" spans="1:9" x14ac:dyDescent="0.25">
      <c r="A14">
        <v>1013</v>
      </c>
      <c r="B14" s="2">
        <v>45669</v>
      </c>
      <c r="C14" t="s">
        <v>9</v>
      </c>
      <c r="D14" t="s">
        <v>24</v>
      </c>
      <c r="E14" t="s">
        <v>22</v>
      </c>
      <c r="F14" t="s">
        <v>36</v>
      </c>
      <c r="G14">
        <v>9</v>
      </c>
      <c r="H14">
        <v>1600</v>
      </c>
      <c r="I14">
        <f>Table1[[#This Row],[Unit Price]]*Table1[[#This Row],[Quantity]]</f>
        <v>14400</v>
      </c>
    </row>
    <row r="15" spans="1:9" x14ac:dyDescent="0.25">
      <c r="A15">
        <v>1014</v>
      </c>
      <c r="B15" s="2">
        <v>45670</v>
      </c>
      <c r="C15" t="s">
        <v>13</v>
      </c>
      <c r="D15" t="s">
        <v>26</v>
      </c>
      <c r="E15" t="s">
        <v>11</v>
      </c>
      <c r="F15" t="s">
        <v>12</v>
      </c>
      <c r="G15">
        <v>4</v>
      </c>
      <c r="H15">
        <v>1200</v>
      </c>
      <c r="I15">
        <f>Table1[[#This Row],[Unit Price]]*Table1[[#This Row],[Quantity]]</f>
        <v>4800</v>
      </c>
    </row>
    <row r="16" spans="1:9" x14ac:dyDescent="0.25">
      <c r="A16">
        <v>1015</v>
      </c>
      <c r="B16" s="2">
        <v>45671</v>
      </c>
      <c r="C16" t="s">
        <v>17</v>
      </c>
      <c r="D16" t="s">
        <v>28</v>
      </c>
      <c r="E16" t="s">
        <v>15</v>
      </c>
      <c r="F16" t="s">
        <v>16</v>
      </c>
      <c r="G16">
        <v>3</v>
      </c>
      <c r="H16">
        <v>4500</v>
      </c>
      <c r="I16">
        <f>Table1[[#This Row],[Unit Price]]*Table1[[#This Row],[Quantity]]</f>
        <v>13500</v>
      </c>
    </row>
    <row r="17" spans="1:9" x14ac:dyDescent="0.25">
      <c r="A17">
        <v>1016</v>
      </c>
      <c r="B17" s="2">
        <v>45672</v>
      </c>
      <c r="C17" t="s">
        <v>20</v>
      </c>
      <c r="D17" t="s">
        <v>30</v>
      </c>
      <c r="E17" t="s">
        <v>22</v>
      </c>
      <c r="F17" t="s">
        <v>29</v>
      </c>
      <c r="G17">
        <v>6</v>
      </c>
      <c r="H17">
        <v>2100</v>
      </c>
      <c r="I17">
        <f>Table1[[#This Row],[Unit Price]]*Table1[[#This Row],[Quantity]]</f>
        <v>12600</v>
      </c>
    </row>
    <row r="18" spans="1:9" x14ac:dyDescent="0.25">
      <c r="A18">
        <v>1017</v>
      </c>
      <c r="B18" s="2">
        <v>45673</v>
      </c>
      <c r="C18" t="s">
        <v>9</v>
      </c>
      <c r="D18" t="s">
        <v>10</v>
      </c>
      <c r="E18" t="s">
        <v>11</v>
      </c>
      <c r="F18" t="s">
        <v>19</v>
      </c>
      <c r="G18">
        <v>5</v>
      </c>
      <c r="H18">
        <v>1800</v>
      </c>
      <c r="I18">
        <f>Table1[[#This Row],[Unit Price]]*Table1[[#This Row],[Quantity]]</f>
        <v>9000</v>
      </c>
    </row>
    <row r="19" spans="1:9" x14ac:dyDescent="0.25">
      <c r="A19">
        <v>1018</v>
      </c>
      <c r="B19" s="2">
        <v>45674</v>
      </c>
      <c r="C19" t="s">
        <v>13</v>
      </c>
      <c r="D19" t="s">
        <v>14</v>
      </c>
      <c r="E19" t="s">
        <v>15</v>
      </c>
      <c r="F19" t="s">
        <v>27</v>
      </c>
      <c r="G19">
        <v>4</v>
      </c>
      <c r="H19">
        <v>5000</v>
      </c>
      <c r="I19">
        <f>Table1[[#This Row],[Unit Price]]*Table1[[#This Row],[Quantity]]</f>
        <v>20000</v>
      </c>
    </row>
    <row r="20" spans="1:9" x14ac:dyDescent="0.25">
      <c r="A20">
        <v>1019</v>
      </c>
      <c r="B20" s="2">
        <v>45675</v>
      </c>
      <c r="C20" t="s">
        <v>17</v>
      </c>
      <c r="D20" t="s">
        <v>18</v>
      </c>
      <c r="E20" t="s">
        <v>22</v>
      </c>
      <c r="F20" t="s">
        <v>23</v>
      </c>
      <c r="G20">
        <v>7</v>
      </c>
      <c r="H20">
        <v>2200</v>
      </c>
      <c r="I20">
        <f>Table1[[#This Row],[Unit Price]]*Table1[[#This Row],[Quantity]]</f>
        <v>15400</v>
      </c>
    </row>
    <row r="21" spans="1:9" x14ac:dyDescent="0.25">
      <c r="A21">
        <v>1020</v>
      </c>
      <c r="B21" s="2">
        <v>45676</v>
      </c>
      <c r="C21" t="s">
        <v>20</v>
      </c>
      <c r="D21" t="s">
        <v>21</v>
      </c>
      <c r="E21" t="s">
        <v>11</v>
      </c>
      <c r="F21" t="s">
        <v>31</v>
      </c>
      <c r="G21">
        <v>3</v>
      </c>
      <c r="H21">
        <v>6000</v>
      </c>
      <c r="I21">
        <f>Table1[[#This Row],[Unit Price]]*Table1[[#This Row],[Quantity]]</f>
        <v>18000</v>
      </c>
    </row>
    <row r="22" spans="1:9" x14ac:dyDescent="0.25">
      <c r="A22">
        <v>1021</v>
      </c>
      <c r="B22" s="2">
        <v>45677</v>
      </c>
      <c r="C22" t="s">
        <v>9</v>
      </c>
      <c r="D22" t="s">
        <v>24</v>
      </c>
      <c r="E22" t="s">
        <v>15</v>
      </c>
      <c r="F22" t="s">
        <v>32</v>
      </c>
      <c r="G22">
        <v>8</v>
      </c>
      <c r="H22">
        <v>1500</v>
      </c>
      <c r="I22">
        <f>Table1[[#This Row],[Unit Price]]*Table1[[#This Row],[Quantity]]</f>
        <v>12000</v>
      </c>
    </row>
    <row r="23" spans="1:9" x14ac:dyDescent="0.25">
      <c r="A23">
        <v>1022</v>
      </c>
      <c r="B23" s="2">
        <v>45678</v>
      </c>
      <c r="C23" t="s">
        <v>13</v>
      </c>
      <c r="D23" t="s">
        <v>26</v>
      </c>
      <c r="E23" t="s">
        <v>22</v>
      </c>
      <c r="F23" t="s">
        <v>33</v>
      </c>
      <c r="G23">
        <v>11</v>
      </c>
      <c r="H23">
        <v>1700</v>
      </c>
      <c r="I23">
        <f>Table1[[#This Row],[Unit Price]]*Table1[[#This Row],[Quantity]]</f>
        <v>18700</v>
      </c>
    </row>
    <row r="24" spans="1:9" x14ac:dyDescent="0.25">
      <c r="A24">
        <v>2023</v>
      </c>
      <c r="B24" s="2">
        <v>45684</v>
      </c>
      <c r="C24" t="s">
        <v>54</v>
      </c>
      <c r="D24" t="s">
        <v>26</v>
      </c>
      <c r="E24" t="s">
        <v>15</v>
      </c>
      <c r="F24" t="s">
        <v>16</v>
      </c>
      <c r="G24">
        <v>2</v>
      </c>
      <c r="H24">
        <v>3500</v>
      </c>
      <c r="I24">
        <f>Table1[[#This Row],[Unit Price]]*Table1[[#This Row],[Quantity]]</f>
        <v>7000</v>
      </c>
    </row>
    <row r="25" spans="1:9" x14ac:dyDescent="0.25">
      <c r="A25">
        <v>2024</v>
      </c>
      <c r="B25" s="2">
        <v>45685</v>
      </c>
      <c r="C25" t="s">
        <v>9</v>
      </c>
      <c r="D25" t="s">
        <v>18</v>
      </c>
      <c r="E25" t="s">
        <v>11</v>
      </c>
      <c r="F25" t="s">
        <v>25</v>
      </c>
      <c r="G25">
        <v>6</v>
      </c>
      <c r="H25">
        <v>2000</v>
      </c>
      <c r="I25">
        <f>Table1[[#This Row],[Unit Price]]*Table1[[#This Row],[Quantity]]</f>
        <v>12000</v>
      </c>
    </row>
    <row r="26" spans="1:9" x14ac:dyDescent="0.25">
      <c r="A26">
        <v>2025</v>
      </c>
      <c r="B26" s="2">
        <v>45686</v>
      </c>
      <c r="C26" t="s">
        <v>20</v>
      </c>
      <c r="D26" t="s">
        <v>30</v>
      </c>
      <c r="E26" t="s">
        <v>22</v>
      </c>
      <c r="F26" t="s">
        <v>37</v>
      </c>
      <c r="G26">
        <v>5</v>
      </c>
      <c r="H26">
        <v>1800</v>
      </c>
      <c r="I26">
        <f>Table1[[#This Row],[Unit Price]]*Table1[[#This Row],[Quantity]]</f>
        <v>9000</v>
      </c>
    </row>
    <row r="27" spans="1:9" x14ac:dyDescent="0.25">
      <c r="A27">
        <v>2026</v>
      </c>
      <c r="B27" s="2">
        <v>45687</v>
      </c>
      <c r="C27" t="s">
        <v>13</v>
      </c>
      <c r="D27" t="s">
        <v>10</v>
      </c>
      <c r="E27" t="s">
        <v>11</v>
      </c>
      <c r="F27" t="s">
        <v>19</v>
      </c>
      <c r="G27">
        <v>4</v>
      </c>
      <c r="H27">
        <v>1500</v>
      </c>
      <c r="I27">
        <f>Table1[[#This Row],[Unit Price]]*Table1[[#This Row],[Quantity]]</f>
        <v>6000</v>
      </c>
    </row>
    <row r="28" spans="1:9" x14ac:dyDescent="0.25">
      <c r="A28">
        <v>2027</v>
      </c>
      <c r="B28" s="2">
        <v>45688</v>
      </c>
      <c r="C28" t="s">
        <v>17</v>
      </c>
      <c r="D28" t="s">
        <v>21</v>
      </c>
      <c r="E28" t="s">
        <v>15</v>
      </c>
      <c r="F28" t="s">
        <v>27</v>
      </c>
      <c r="G28">
        <v>3</v>
      </c>
      <c r="H28">
        <v>5000</v>
      </c>
      <c r="I28">
        <f>Table1[[#This Row],[Unit Price]]*Table1[[#This Row],[Quantity]]</f>
        <v>15000</v>
      </c>
    </row>
    <row r="29" spans="1:9" x14ac:dyDescent="0.25">
      <c r="A29">
        <v>2028</v>
      </c>
      <c r="B29" s="2">
        <v>45689</v>
      </c>
      <c r="C29" t="s">
        <v>55</v>
      </c>
      <c r="D29" t="s">
        <v>24</v>
      </c>
      <c r="E29" t="s">
        <v>22</v>
      </c>
      <c r="F29" t="s">
        <v>33</v>
      </c>
      <c r="G29">
        <v>10</v>
      </c>
      <c r="H29">
        <v>1700</v>
      </c>
      <c r="I29">
        <f>Table1[[#This Row],[Unit Price]]*Table1[[#This Row],[Quantity]]</f>
        <v>17000</v>
      </c>
    </row>
    <row r="30" spans="1:9" x14ac:dyDescent="0.25">
      <c r="A30">
        <v>2029</v>
      </c>
      <c r="B30" s="2">
        <v>45690</v>
      </c>
      <c r="C30" t="s">
        <v>20</v>
      </c>
      <c r="D30" t="s">
        <v>26</v>
      </c>
      <c r="E30" t="s">
        <v>11</v>
      </c>
      <c r="F30" t="s">
        <v>12</v>
      </c>
      <c r="G30">
        <v>9</v>
      </c>
      <c r="H30">
        <v>1200</v>
      </c>
      <c r="I30">
        <f>Table1[[#This Row],[Unit Price]]*Table1[[#This Row],[Quantity]]</f>
        <v>10800</v>
      </c>
    </row>
    <row r="31" spans="1:9" x14ac:dyDescent="0.25">
      <c r="A31">
        <v>2030</v>
      </c>
      <c r="B31" s="2">
        <v>45691</v>
      </c>
      <c r="C31" t="s">
        <v>56</v>
      </c>
      <c r="D31" t="s">
        <v>18</v>
      </c>
      <c r="E31" t="s">
        <v>15</v>
      </c>
      <c r="F31" t="s">
        <v>32</v>
      </c>
      <c r="G31">
        <v>6</v>
      </c>
      <c r="H31">
        <v>1500</v>
      </c>
      <c r="I31">
        <f>Table1[[#This Row],[Unit Price]]*Table1[[#This Row],[Quantity]]</f>
        <v>9000</v>
      </c>
    </row>
    <row r="32" spans="1:9" x14ac:dyDescent="0.25">
      <c r="A32">
        <v>2031</v>
      </c>
      <c r="B32" s="2">
        <v>45692</v>
      </c>
      <c r="C32" t="s">
        <v>17</v>
      </c>
      <c r="D32" t="s">
        <v>14</v>
      </c>
      <c r="E32" t="s">
        <v>11</v>
      </c>
      <c r="F32" t="s">
        <v>31</v>
      </c>
      <c r="G32">
        <v>2</v>
      </c>
      <c r="H32">
        <v>4000</v>
      </c>
      <c r="I32">
        <f>Table1[[#This Row],[Unit Price]]*Table1[[#This Row],[Quantity]]</f>
        <v>8000</v>
      </c>
    </row>
    <row r="33" spans="1:9" x14ac:dyDescent="0.25">
      <c r="A33">
        <v>2032</v>
      </c>
      <c r="B33" s="2">
        <v>45693</v>
      </c>
      <c r="C33" t="s">
        <v>9</v>
      </c>
      <c r="D33" t="s">
        <v>28</v>
      </c>
      <c r="E33" t="s">
        <v>22</v>
      </c>
      <c r="F33" t="s">
        <v>38</v>
      </c>
      <c r="G33">
        <v>7</v>
      </c>
      <c r="H33">
        <v>900</v>
      </c>
      <c r="I33">
        <f>Table1[[#This Row],[Unit Price]]*Table1[[#This Row],[Quantity]]</f>
        <v>6300</v>
      </c>
    </row>
    <row r="34" spans="1:9" x14ac:dyDescent="0.25">
      <c r="A34">
        <v>2033</v>
      </c>
      <c r="B34" s="2">
        <v>45694</v>
      </c>
      <c r="C34" t="s">
        <v>57</v>
      </c>
      <c r="D34" t="s">
        <v>21</v>
      </c>
      <c r="E34" t="s">
        <v>15</v>
      </c>
      <c r="F34" t="s">
        <v>39</v>
      </c>
      <c r="G34">
        <v>4</v>
      </c>
      <c r="H34">
        <v>2800</v>
      </c>
      <c r="I34">
        <f>Table1[[#This Row],[Unit Price]]*Table1[[#This Row],[Quantity]]</f>
        <v>11200</v>
      </c>
    </row>
    <row r="35" spans="1:9" x14ac:dyDescent="0.25">
      <c r="A35">
        <v>2034</v>
      </c>
      <c r="B35" s="2">
        <v>45695</v>
      </c>
      <c r="C35" t="s">
        <v>13</v>
      </c>
      <c r="D35" t="s">
        <v>24</v>
      </c>
      <c r="E35" t="s">
        <v>11</v>
      </c>
      <c r="F35" t="s">
        <v>34</v>
      </c>
      <c r="G35">
        <v>1</v>
      </c>
      <c r="H35">
        <v>22000</v>
      </c>
      <c r="I35">
        <f>Table1[[#This Row],[Unit Price]]*Table1[[#This Row],[Quantity]]</f>
        <v>22000</v>
      </c>
    </row>
    <row r="36" spans="1:9" x14ac:dyDescent="0.25">
      <c r="A36">
        <v>2035</v>
      </c>
      <c r="B36" s="2">
        <v>45696</v>
      </c>
      <c r="C36" t="s">
        <v>58</v>
      </c>
      <c r="D36" t="s">
        <v>10</v>
      </c>
      <c r="E36" t="s">
        <v>15</v>
      </c>
      <c r="F36" t="s">
        <v>35</v>
      </c>
      <c r="G36">
        <v>5</v>
      </c>
      <c r="H36">
        <v>3200</v>
      </c>
      <c r="I36">
        <f>Table1[[#This Row],[Unit Price]]*Table1[[#This Row],[Quantity]]</f>
        <v>16000</v>
      </c>
    </row>
    <row r="37" spans="1:9" x14ac:dyDescent="0.25">
      <c r="A37">
        <v>2036</v>
      </c>
      <c r="B37" s="2">
        <v>45697</v>
      </c>
      <c r="C37" t="s">
        <v>9</v>
      </c>
      <c r="D37" t="s">
        <v>30</v>
      </c>
      <c r="E37" t="s">
        <v>11</v>
      </c>
      <c r="F37" t="s">
        <v>40</v>
      </c>
      <c r="G37">
        <v>2</v>
      </c>
      <c r="H37">
        <v>95000</v>
      </c>
      <c r="I37">
        <f>Table1[[#This Row],[Unit Price]]*Table1[[#This Row],[Quantity]]</f>
        <v>190000</v>
      </c>
    </row>
    <row r="38" spans="1:9" x14ac:dyDescent="0.25">
      <c r="A38">
        <v>2037</v>
      </c>
      <c r="B38" s="2">
        <v>45698</v>
      </c>
      <c r="C38" t="s">
        <v>20</v>
      </c>
      <c r="D38" t="s">
        <v>18</v>
      </c>
      <c r="E38" t="s">
        <v>22</v>
      </c>
      <c r="F38" t="s">
        <v>36</v>
      </c>
      <c r="G38">
        <v>6</v>
      </c>
      <c r="H38">
        <v>1400</v>
      </c>
      <c r="I38">
        <f>Table1[[#This Row],[Unit Price]]*Table1[[#This Row],[Quantity]]</f>
        <v>8400</v>
      </c>
    </row>
    <row r="39" spans="1:9" x14ac:dyDescent="0.25">
      <c r="A39">
        <v>2038</v>
      </c>
      <c r="B39" s="2">
        <v>45699</v>
      </c>
      <c r="C39" t="s">
        <v>13</v>
      </c>
      <c r="D39" t="s">
        <v>26</v>
      </c>
      <c r="E39" t="s">
        <v>15</v>
      </c>
      <c r="F39" t="s">
        <v>41</v>
      </c>
      <c r="G39">
        <v>9</v>
      </c>
      <c r="H39">
        <v>800</v>
      </c>
      <c r="I39">
        <f>Table1[[#This Row],[Unit Price]]*Table1[[#This Row],[Quantity]]</f>
        <v>7200</v>
      </c>
    </row>
    <row r="40" spans="1:9" x14ac:dyDescent="0.25">
      <c r="A40">
        <v>2039</v>
      </c>
      <c r="B40" s="2">
        <v>45700</v>
      </c>
      <c r="C40" t="s">
        <v>54</v>
      </c>
      <c r="D40" t="s">
        <v>28</v>
      </c>
      <c r="E40" t="s">
        <v>11</v>
      </c>
      <c r="F40" t="s">
        <v>42</v>
      </c>
      <c r="G40">
        <v>3</v>
      </c>
      <c r="H40">
        <v>18000</v>
      </c>
      <c r="I40">
        <f>Table1[[#This Row],[Unit Price]]*Table1[[#This Row],[Quantity]]</f>
        <v>54000</v>
      </c>
    </row>
    <row r="41" spans="1:9" x14ac:dyDescent="0.25">
      <c r="A41">
        <v>2040</v>
      </c>
      <c r="B41" s="2">
        <v>45701</v>
      </c>
      <c r="C41" t="s">
        <v>9</v>
      </c>
      <c r="D41" t="s">
        <v>14</v>
      </c>
      <c r="E41" t="s">
        <v>22</v>
      </c>
      <c r="F41" t="s">
        <v>29</v>
      </c>
      <c r="G41">
        <v>5</v>
      </c>
      <c r="H41">
        <v>2200</v>
      </c>
      <c r="I41">
        <f>Table1[[#This Row],[Unit Price]]*Table1[[#This Row],[Quantity]]</f>
        <v>11000</v>
      </c>
    </row>
    <row r="42" spans="1:9" x14ac:dyDescent="0.25">
      <c r="A42">
        <v>2041</v>
      </c>
      <c r="B42" s="2">
        <v>45702</v>
      </c>
      <c r="C42" t="s">
        <v>20</v>
      </c>
      <c r="D42" t="s">
        <v>24</v>
      </c>
      <c r="E42" t="s">
        <v>15</v>
      </c>
      <c r="F42" t="s">
        <v>16</v>
      </c>
      <c r="G42">
        <v>2</v>
      </c>
      <c r="H42">
        <v>3500</v>
      </c>
      <c r="I42">
        <f>Table1[[#This Row],[Unit Price]]*Table1[[#This Row],[Quantity]]</f>
        <v>7000</v>
      </c>
    </row>
    <row r="43" spans="1:9" x14ac:dyDescent="0.25">
      <c r="A43">
        <v>2042</v>
      </c>
      <c r="B43" s="2">
        <v>45703</v>
      </c>
      <c r="C43" t="s">
        <v>13</v>
      </c>
      <c r="D43" t="s">
        <v>21</v>
      </c>
      <c r="E43" t="s">
        <v>11</v>
      </c>
      <c r="F43" t="s">
        <v>43</v>
      </c>
      <c r="G43">
        <v>1</v>
      </c>
      <c r="H43">
        <v>45000</v>
      </c>
      <c r="I43">
        <f>Table1[[#This Row],[Unit Price]]*Table1[[#This Row],[Quantity]]</f>
        <v>45000</v>
      </c>
    </row>
    <row r="44" spans="1:9" x14ac:dyDescent="0.25">
      <c r="A44">
        <v>2043</v>
      </c>
      <c r="B44" s="2">
        <v>45704</v>
      </c>
      <c r="C44" t="s">
        <v>17</v>
      </c>
      <c r="D44" t="s">
        <v>10</v>
      </c>
      <c r="E44" t="s">
        <v>22</v>
      </c>
      <c r="F44" t="s">
        <v>33</v>
      </c>
      <c r="G44">
        <v>8</v>
      </c>
      <c r="H44">
        <v>1700</v>
      </c>
      <c r="I44">
        <f>Table1[[#This Row],[Unit Price]]*Table1[[#This Row],[Quantity]]</f>
        <v>13600</v>
      </c>
    </row>
    <row r="45" spans="1:9" x14ac:dyDescent="0.25">
      <c r="A45">
        <v>2044</v>
      </c>
      <c r="B45" s="2">
        <v>45705</v>
      </c>
      <c r="C45" t="s">
        <v>9</v>
      </c>
      <c r="D45" t="s">
        <v>18</v>
      </c>
      <c r="E45" t="s">
        <v>15</v>
      </c>
      <c r="F45" t="s">
        <v>44</v>
      </c>
      <c r="G45">
        <v>10</v>
      </c>
      <c r="H45">
        <v>300</v>
      </c>
      <c r="I45">
        <f>Table1[[#This Row],[Unit Price]]*Table1[[#This Row],[Quantity]]</f>
        <v>3000</v>
      </c>
    </row>
    <row r="46" spans="1:9" x14ac:dyDescent="0.25">
      <c r="A46">
        <v>2045</v>
      </c>
      <c r="B46" s="2">
        <v>45706</v>
      </c>
      <c r="C46" t="s">
        <v>57</v>
      </c>
      <c r="D46" t="s">
        <v>30</v>
      </c>
      <c r="E46" t="s">
        <v>11</v>
      </c>
      <c r="F46" t="s">
        <v>45</v>
      </c>
      <c r="G46">
        <v>1</v>
      </c>
      <c r="H46">
        <v>75000</v>
      </c>
      <c r="I46">
        <f>Table1[[#This Row],[Unit Price]]*Table1[[#This Row],[Quantity]]</f>
        <v>75000</v>
      </c>
    </row>
    <row r="47" spans="1:9" x14ac:dyDescent="0.25">
      <c r="A47">
        <v>2046</v>
      </c>
      <c r="B47" s="2">
        <v>45707</v>
      </c>
      <c r="C47" t="s">
        <v>13</v>
      </c>
      <c r="D47" t="s">
        <v>28</v>
      </c>
      <c r="E47" t="s">
        <v>15</v>
      </c>
      <c r="F47" t="s">
        <v>39</v>
      </c>
      <c r="G47">
        <v>3</v>
      </c>
      <c r="H47">
        <v>2800</v>
      </c>
      <c r="I47">
        <f>Table1[[#This Row],[Unit Price]]*Table1[[#This Row],[Quantity]]</f>
        <v>8400</v>
      </c>
    </row>
    <row r="48" spans="1:9" x14ac:dyDescent="0.25">
      <c r="A48">
        <v>2047</v>
      </c>
      <c r="B48" s="2">
        <v>45708</v>
      </c>
      <c r="C48" t="s">
        <v>17</v>
      </c>
      <c r="D48" t="s">
        <v>14</v>
      </c>
      <c r="E48" t="s">
        <v>11</v>
      </c>
      <c r="F48" t="s">
        <v>34</v>
      </c>
      <c r="G48">
        <v>2</v>
      </c>
      <c r="H48">
        <v>22000</v>
      </c>
      <c r="I48">
        <f>Table1[[#This Row],[Unit Price]]*Table1[[#This Row],[Quantity]]</f>
        <v>44000</v>
      </c>
    </row>
    <row r="49" spans="1:9" x14ac:dyDescent="0.25">
      <c r="A49">
        <v>2048</v>
      </c>
      <c r="B49" s="2">
        <v>45709</v>
      </c>
      <c r="C49" t="s">
        <v>9</v>
      </c>
      <c r="D49" t="s">
        <v>26</v>
      </c>
      <c r="E49" t="s">
        <v>22</v>
      </c>
      <c r="F49" t="s">
        <v>37</v>
      </c>
      <c r="G49">
        <v>6</v>
      </c>
      <c r="H49">
        <v>1800</v>
      </c>
      <c r="I49">
        <f>Table1[[#This Row],[Unit Price]]*Table1[[#This Row],[Quantity]]</f>
        <v>10800</v>
      </c>
    </row>
    <row r="50" spans="1:9" x14ac:dyDescent="0.25">
      <c r="A50">
        <v>2049</v>
      </c>
      <c r="B50" s="2">
        <v>45710</v>
      </c>
      <c r="C50" t="s">
        <v>20</v>
      </c>
      <c r="D50" t="s">
        <v>21</v>
      </c>
      <c r="E50" t="s">
        <v>15</v>
      </c>
      <c r="F50" t="s">
        <v>27</v>
      </c>
      <c r="G50">
        <v>4</v>
      </c>
      <c r="H50">
        <v>5000</v>
      </c>
      <c r="I50">
        <f>Table1[[#This Row],[Unit Price]]*Table1[[#This Row],[Quantity]]</f>
        <v>20000</v>
      </c>
    </row>
    <row r="51" spans="1:9" x14ac:dyDescent="0.25">
      <c r="A51">
        <v>2050</v>
      </c>
      <c r="B51" s="2">
        <v>45711</v>
      </c>
      <c r="C51" t="s">
        <v>13</v>
      </c>
      <c r="D51" t="s">
        <v>24</v>
      </c>
      <c r="E51" t="s">
        <v>11</v>
      </c>
      <c r="F51" t="s">
        <v>19</v>
      </c>
      <c r="G51">
        <v>5</v>
      </c>
      <c r="H51">
        <v>1500</v>
      </c>
      <c r="I51">
        <f>Table1[[#This Row],[Unit Price]]*Table1[[#This Row],[Quantity]]</f>
        <v>7500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
  <sheetViews>
    <sheetView zoomScale="205" zoomScaleNormal="205" workbookViewId="0">
      <selection activeCell="D4" sqref="D4"/>
    </sheetView>
  </sheetViews>
  <sheetFormatPr defaultRowHeight="15" x14ac:dyDescent="0.25"/>
  <sheetData>
    <row r="1" spans="1:3" x14ac:dyDescent="0.25">
      <c r="A1" s="1" t="s">
        <v>2</v>
      </c>
      <c r="B1" s="1" t="s">
        <v>6</v>
      </c>
      <c r="C1" s="1" t="s">
        <v>8</v>
      </c>
    </row>
    <row r="2" spans="1:3" x14ac:dyDescent="0.25">
      <c r="A2" s="1" t="s">
        <v>20</v>
      </c>
      <c r="B2">
        <v>55</v>
      </c>
      <c r="C2">
        <v>219100</v>
      </c>
    </row>
    <row r="3" spans="1:3" x14ac:dyDescent="0.25">
      <c r="A3" s="1" t="s">
        <v>9</v>
      </c>
      <c r="B3">
        <v>89</v>
      </c>
      <c r="C3">
        <v>321500</v>
      </c>
    </row>
    <row r="4" spans="1:3" x14ac:dyDescent="0.25">
      <c r="A4" s="1" t="s">
        <v>13</v>
      </c>
      <c r="B4">
        <v>65</v>
      </c>
      <c r="C4">
        <v>193000</v>
      </c>
    </row>
    <row r="5" spans="1:3" x14ac:dyDescent="0.25">
      <c r="A5" s="1" t="s">
        <v>17</v>
      </c>
      <c r="B5">
        <v>49</v>
      </c>
      <c r="C5">
        <v>274400</v>
      </c>
    </row>
  </sheetData>
  <conditionalFormatting sqref="C2:C5">
    <cfRule type="dataBar" priority="1">
      <dataBar>
        <cfvo type="min"/>
        <cfvo type="max"/>
        <color rgb="FF63C384"/>
      </dataBar>
      <extLst>
        <ext xmlns:x14="http://schemas.microsoft.com/office/spreadsheetml/2009/9/main" uri="{B025F937-C7B1-47D3-B67F-A62EFF666E3E}">
          <x14:id>{C9E85BBA-3D32-4741-8C31-8CBD5263497E}</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C9E85BBA-3D32-4741-8C31-8CBD5263497E}">
            <x14:dataBar minLength="0" maxLength="100" border="1" negativeBarBorderColorSameAsPositive="0">
              <x14:cfvo type="autoMin"/>
              <x14:cfvo type="autoMax"/>
              <x14:borderColor rgb="FF63C384"/>
              <x14:negativeFillColor rgb="FFFF0000"/>
              <x14:negativeBorderColor rgb="FFFF0000"/>
              <x14:axisColor rgb="FF000000"/>
            </x14:dataBar>
          </x14:cfRule>
          <xm:sqref>C2:C5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workbookViewId="0">
      <selection activeCell="R10" sqref="R10"/>
    </sheetView>
  </sheetViews>
  <sheetFormatPr defaultRowHeight="15" x14ac:dyDescent="0.25"/>
  <cols>
    <col min="1" max="1" width="13.140625" bestFit="1" customWidth="1"/>
    <col min="2" max="2" width="16" bestFit="1" customWidth="1"/>
  </cols>
  <sheetData>
    <row r="1" spans="1:2" x14ac:dyDescent="0.25">
      <c r="A1" s="1" t="s">
        <v>4</v>
      </c>
      <c r="B1" s="1" t="s">
        <v>5</v>
      </c>
    </row>
    <row r="2" spans="1:2" x14ac:dyDescent="0.25">
      <c r="A2" s="1" t="s">
        <v>15</v>
      </c>
      <c r="B2">
        <v>17</v>
      </c>
    </row>
    <row r="3" spans="1:2" x14ac:dyDescent="0.25">
      <c r="A3" s="1" t="s">
        <v>11</v>
      </c>
      <c r="B3">
        <v>19</v>
      </c>
    </row>
    <row r="4" spans="1:2" x14ac:dyDescent="0.25">
      <c r="A4" s="1" t="s">
        <v>22</v>
      </c>
      <c r="B4">
        <v>14</v>
      </c>
    </row>
    <row r="9" spans="1:2" x14ac:dyDescent="0.25">
      <c r="A9" s="6" t="s">
        <v>49</v>
      </c>
      <c r="B9" t="s">
        <v>51</v>
      </c>
    </row>
    <row r="10" spans="1:2" x14ac:dyDescent="0.25">
      <c r="A10" s="7" t="s">
        <v>15</v>
      </c>
      <c r="B10" s="9">
        <v>17</v>
      </c>
    </row>
    <row r="11" spans="1:2" x14ac:dyDescent="0.25">
      <c r="A11" s="7" t="s">
        <v>11</v>
      </c>
      <c r="B11" s="9">
        <v>19</v>
      </c>
    </row>
    <row r="12" spans="1:2" x14ac:dyDescent="0.25">
      <c r="A12" s="7" t="s">
        <v>22</v>
      </c>
      <c r="B12" s="9">
        <v>14</v>
      </c>
    </row>
    <row r="13" spans="1:2" x14ac:dyDescent="0.25">
      <c r="A13" s="7" t="s">
        <v>50</v>
      </c>
      <c r="B13" s="9">
        <v>50</v>
      </c>
    </row>
  </sheetData>
  <pageMargins left="0.75" right="0.75" top="1" bottom="1" header="0.5" footer="0.5"/>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6"/>
  <sheetViews>
    <sheetView workbookViewId="0">
      <selection activeCell="G62" sqref="G62"/>
    </sheetView>
  </sheetViews>
  <sheetFormatPr defaultRowHeight="15" x14ac:dyDescent="0.25"/>
  <cols>
    <col min="4" max="4" width="13.140625" bestFit="1" customWidth="1"/>
    <col min="5" max="5" width="15.42578125" bestFit="1" customWidth="1"/>
    <col min="6" max="8" width="17.28515625" bestFit="1" customWidth="1"/>
  </cols>
  <sheetData>
    <row r="1" spans="1:5" x14ac:dyDescent="0.25">
      <c r="A1" s="1" t="s">
        <v>4</v>
      </c>
      <c r="B1" s="1" t="s">
        <v>20</v>
      </c>
      <c r="C1" s="1" t="s">
        <v>9</v>
      </c>
      <c r="D1" s="1" t="s">
        <v>13</v>
      </c>
      <c r="E1" s="1" t="s">
        <v>17</v>
      </c>
    </row>
    <row r="2" spans="1:5" x14ac:dyDescent="0.25">
      <c r="A2" s="1" t="s">
        <v>15</v>
      </c>
      <c r="B2">
        <v>55700</v>
      </c>
      <c r="C2">
        <v>30000</v>
      </c>
      <c r="D2">
        <v>68600</v>
      </c>
      <c r="E2">
        <v>51500</v>
      </c>
    </row>
    <row r="3" spans="1:5" x14ac:dyDescent="0.25">
      <c r="A3" s="1" t="s">
        <v>11</v>
      </c>
      <c r="B3">
        <v>115800</v>
      </c>
      <c r="C3">
        <v>232000</v>
      </c>
      <c r="D3">
        <v>85300</v>
      </c>
      <c r="E3">
        <v>179200</v>
      </c>
    </row>
    <row r="4" spans="1:5" x14ac:dyDescent="0.25">
      <c r="A4" s="1" t="s">
        <v>22</v>
      </c>
      <c r="B4">
        <v>47600</v>
      </c>
      <c r="C4">
        <v>59500</v>
      </c>
      <c r="D4">
        <v>39100</v>
      </c>
      <c r="E4">
        <v>43700</v>
      </c>
    </row>
    <row r="27" spans="6:8" x14ac:dyDescent="0.25">
      <c r="F27" s="6" t="s">
        <v>49</v>
      </c>
      <c r="G27" t="s">
        <v>52</v>
      </c>
      <c r="H27" t="s">
        <v>46</v>
      </c>
    </row>
    <row r="28" spans="6:8" x14ac:dyDescent="0.25">
      <c r="F28" s="7" t="s">
        <v>15</v>
      </c>
      <c r="G28" s="9">
        <v>17</v>
      </c>
      <c r="H28" s="9">
        <v>205800</v>
      </c>
    </row>
    <row r="29" spans="6:8" x14ac:dyDescent="0.25">
      <c r="F29" s="7" t="s">
        <v>11</v>
      </c>
      <c r="G29" s="9">
        <v>19</v>
      </c>
      <c r="H29" s="9">
        <v>612300</v>
      </c>
    </row>
    <row r="30" spans="6:8" x14ac:dyDescent="0.25">
      <c r="F30" s="7" t="s">
        <v>22</v>
      </c>
      <c r="G30" s="9">
        <v>14</v>
      </c>
      <c r="H30" s="9">
        <v>189900</v>
      </c>
    </row>
    <row r="31" spans="6:8" x14ac:dyDescent="0.25">
      <c r="F31" s="7" t="s">
        <v>50</v>
      </c>
      <c r="G31" s="9">
        <v>50</v>
      </c>
      <c r="H31" s="9">
        <v>1008000</v>
      </c>
    </row>
    <row r="43" spans="4:5" x14ac:dyDescent="0.25">
      <c r="D43" s="6" t="s">
        <v>49</v>
      </c>
      <c r="E43" t="s">
        <v>47</v>
      </c>
    </row>
    <row r="44" spans="4:5" x14ac:dyDescent="0.25">
      <c r="D44" s="7" t="s">
        <v>45</v>
      </c>
      <c r="E44" s="9">
        <v>1</v>
      </c>
    </row>
    <row r="45" spans="4:5" x14ac:dyDescent="0.25">
      <c r="D45" s="7" t="s">
        <v>41</v>
      </c>
      <c r="E45" s="9">
        <v>9</v>
      </c>
    </row>
    <row r="46" spans="4:5" x14ac:dyDescent="0.25">
      <c r="D46" s="7" t="s">
        <v>36</v>
      </c>
      <c r="E46" s="9">
        <v>15</v>
      </c>
    </row>
    <row r="47" spans="4:5" x14ac:dyDescent="0.25">
      <c r="D47" s="7" t="s">
        <v>25</v>
      </c>
      <c r="E47" s="9">
        <v>12</v>
      </c>
    </row>
    <row r="48" spans="4:5" x14ac:dyDescent="0.25">
      <c r="D48" s="7" t="s">
        <v>39</v>
      </c>
      <c r="E48" s="9">
        <v>7</v>
      </c>
    </row>
    <row r="49" spans="4:5" x14ac:dyDescent="0.25">
      <c r="D49" s="7" t="s">
        <v>16</v>
      </c>
      <c r="E49" s="9">
        <v>9</v>
      </c>
    </row>
    <row r="50" spans="4:5" x14ac:dyDescent="0.25">
      <c r="D50" s="7" t="s">
        <v>35</v>
      </c>
      <c r="E50" s="9">
        <v>10</v>
      </c>
    </row>
    <row r="51" spans="4:5" x14ac:dyDescent="0.25">
      <c r="D51" s="7" t="s">
        <v>19</v>
      </c>
      <c r="E51" s="9">
        <v>18</v>
      </c>
    </row>
    <row r="52" spans="4:5" x14ac:dyDescent="0.25">
      <c r="D52" s="7" t="s">
        <v>40</v>
      </c>
      <c r="E52" s="9">
        <v>2</v>
      </c>
    </row>
    <row r="53" spans="4:5" x14ac:dyDescent="0.25">
      <c r="D53" s="7" t="s">
        <v>34</v>
      </c>
      <c r="E53" s="9">
        <v>6</v>
      </c>
    </row>
    <row r="54" spans="4:5" x14ac:dyDescent="0.25">
      <c r="D54" s="7" t="s">
        <v>12</v>
      </c>
      <c r="E54" s="9">
        <v>18</v>
      </c>
    </row>
    <row r="55" spans="4:5" x14ac:dyDescent="0.25">
      <c r="D55" s="7" t="s">
        <v>29</v>
      </c>
      <c r="E55" s="9">
        <v>18</v>
      </c>
    </row>
    <row r="56" spans="4:5" x14ac:dyDescent="0.25">
      <c r="D56" s="7" t="s">
        <v>42</v>
      </c>
      <c r="E56" s="9">
        <v>3</v>
      </c>
    </row>
    <row r="57" spans="4:5" x14ac:dyDescent="0.25">
      <c r="D57" s="7" t="s">
        <v>23</v>
      </c>
      <c r="E57" s="9">
        <v>15</v>
      </c>
    </row>
    <row r="58" spans="4:5" x14ac:dyDescent="0.25">
      <c r="D58" s="7" t="s">
        <v>37</v>
      </c>
      <c r="E58" s="9">
        <v>11</v>
      </c>
    </row>
    <row r="59" spans="4:5" x14ac:dyDescent="0.25">
      <c r="D59" s="7" t="s">
        <v>27</v>
      </c>
      <c r="E59" s="9">
        <v>14</v>
      </c>
    </row>
    <row r="60" spans="4:5" x14ac:dyDescent="0.25">
      <c r="D60" s="7" t="s">
        <v>44</v>
      </c>
      <c r="E60" s="9">
        <v>10</v>
      </c>
    </row>
    <row r="61" spans="4:5" x14ac:dyDescent="0.25">
      <c r="D61" s="7" t="s">
        <v>31</v>
      </c>
      <c r="E61" s="9">
        <v>7</v>
      </c>
    </row>
    <row r="62" spans="4:5" x14ac:dyDescent="0.25">
      <c r="D62" s="7" t="s">
        <v>33</v>
      </c>
      <c r="E62" s="9">
        <v>41</v>
      </c>
    </row>
    <row r="63" spans="4:5" x14ac:dyDescent="0.25">
      <c r="D63" s="7" t="s">
        <v>43</v>
      </c>
      <c r="E63" s="9">
        <v>1</v>
      </c>
    </row>
    <row r="64" spans="4:5" x14ac:dyDescent="0.25">
      <c r="D64" s="7" t="s">
        <v>38</v>
      </c>
      <c r="E64" s="9">
        <v>7</v>
      </c>
    </row>
    <row r="65" spans="4:5" x14ac:dyDescent="0.25">
      <c r="D65" s="7" t="s">
        <v>32</v>
      </c>
      <c r="E65" s="9">
        <v>24</v>
      </c>
    </row>
    <row r="66" spans="4:5" x14ac:dyDescent="0.25">
      <c r="D66" s="7" t="s">
        <v>50</v>
      </c>
      <c r="E66" s="9">
        <v>258</v>
      </c>
    </row>
  </sheetData>
  <conditionalFormatting pivot="1" sqref="E44:E65">
    <cfRule type="dataBar" priority="1">
      <dataBar>
        <cfvo type="min"/>
        <cfvo type="max"/>
        <color rgb="FF638EC6"/>
      </dataBar>
      <extLst>
        <ext xmlns:x14="http://schemas.microsoft.com/office/spreadsheetml/2009/9/main" uri="{B025F937-C7B1-47D3-B67F-A62EFF666E3E}">
          <x14:id>{8D4ABAD9-8E5E-41EA-8CC7-214B3A939194}</x14:id>
        </ext>
      </extLst>
    </cfRule>
  </conditionalFormatting>
  <pageMargins left="0.75" right="0.75" top="1" bottom="1" header="0.5" footer="0.5"/>
  <drawing r:id="rId3"/>
  <extLst>
    <ext xmlns:x14="http://schemas.microsoft.com/office/spreadsheetml/2009/9/main" uri="{78C0D931-6437-407d-A8EE-F0AAD7539E65}">
      <x14:conditionalFormattings>
        <x14:conditionalFormatting xmlns:xm="http://schemas.microsoft.com/office/excel/2006/main" pivot="1">
          <x14:cfRule type="dataBar" id="{8D4ABAD9-8E5E-41EA-8CC7-214B3A939194}">
            <x14:dataBar minLength="0" maxLength="100" border="1" negativeBarBorderColorSameAsPositive="0">
              <x14:cfvo type="autoMin"/>
              <x14:cfvo type="autoMax"/>
              <x14:borderColor rgb="FF638EC6"/>
              <x14:negativeFillColor rgb="FFFF0000"/>
              <x14:negativeBorderColor rgb="FFFF0000"/>
              <x14:axisColor rgb="FF000000"/>
            </x14:dataBar>
          </x14:cfRule>
          <xm:sqref>E44:E65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4"/>
  <sheetViews>
    <sheetView workbookViewId="0">
      <selection activeCell="B23" sqref="B23"/>
    </sheetView>
  </sheetViews>
  <sheetFormatPr defaultRowHeight="15" x14ac:dyDescent="0.25"/>
  <cols>
    <col min="2" max="2" width="13.140625" bestFit="1" customWidth="1"/>
    <col min="3" max="3" width="15.42578125" bestFit="1" customWidth="1"/>
    <col min="4" max="4" width="17.28515625" bestFit="1" customWidth="1"/>
    <col min="5" max="5" width="16.42578125" bestFit="1" customWidth="1"/>
  </cols>
  <sheetData>
    <row r="1" spans="1:5" x14ac:dyDescent="0.25">
      <c r="A1" s="1" t="s">
        <v>3</v>
      </c>
      <c r="B1" s="1" t="s">
        <v>6</v>
      </c>
      <c r="C1" s="1" t="s">
        <v>8</v>
      </c>
      <c r="D1" s="1" t="s">
        <v>7</v>
      </c>
    </row>
    <row r="2" spans="1:5" x14ac:dyDescent="0.25">
      <c r="A2" s="1" t="s">
        <v>30</v>
      </c>
      <c r="B2">
        <v>16</v>
      </c>
      <c r="C2">
        <v>298600</v>
      </c>
      <c r="D2">
        <v>35980</v>
      </c>
    </row>
    <row r="3" spans="1:5" x14ac:dyDescent="0.25">
      <c r="A3" s="1" t="s">
        <v>21</v>
      </c>
      <c r="B3">
        <v>28</v>
      </c>
      <c r="C3">
        <v>144300</v>
      </c>
      <c r="D3">
        <v>9928.5714285714294</v>
      </c>
    </row>
    <row r="4" spans="1:5" x14ac:dyDescent="0.25">
      <c r="A4" s="1" t="s">
        <v>18</v>
      </c>
      <c r="B4">
        <v>42</v>
      </c>
      <c r="C4">
        <v>121000</v>
      </c>
      <c r="D4">
        <v>4457.1428571428569</v>
      </c>
    </row>
    <row r="5" spans="1:5" x14ac:dyDescent="0.25">
      <c r="A5" s="1" t="s">
        <v>14</v>
      </c>
      <c r="B5">
        <v>27</v>
      </c>
      <c r="C5">
        <v>112400</v>
      </c>
      <c r="D5">
        <v>6566.666666666667</v>
      </c>
    </row>
    <row r="6" spans="1:5" x14ac:dyDescent="0.25">
      <c r="A6" s="1" t="s">
        <v>28</v>
      </c>
      <c r="B6">
        <v>23</v>
      </c>
      <c r="C6">
        <v>96900</v>
      </c>
      <c r="D6">
        <v>5660</v>
      </c>
    </row>
    <row r="7" spans="1:5" x14ac:dyDescent="0.25">
      <c r="A7" s="1" t="s">
        <v>24</v>
      </c>
      <c r="B7">
        <v>41</v>
      </c>
      <c r="C7">
        <v>94900</v>
      </c>
      <c r="D7">
        <v>4900</v>
      </c>
    </row>
    <row r="8" spans="1:5" x14ac:dyDescent="0.25">
      <c r="A8" s="1" t="s">
        <v>26</v>
      </c>
      <c r="B8">
        <v>44</v>
      </c>
      <c r="C8">
        <v>74300</v>
      </c>
      <c r="D8">
        <v>2171.428571428572</v>
      </c>
    </row>
    <row r="9" spans="1:5" x14ac:dyDescent="0.25">
      <c r="A9" s="1" t="s">
        <v>10</v>
      </c>
      <c r="B9">
        <v>37</v>
      </c>
      <c r="C9">
        <v>65600</v>
      </c>
      <c r="D9">
        <v>1816.666666666667</v>
      </c>
    </row>
    <row r="15" spans="1:5" x14ac:dyDescent="0.25">
      <c r="B15" s="6" t="s">
        <v>49</v>
      </c>
      <c r="C15" t="s">
        <v>47</v>
      </c>
      <c r="D15" t="s">
        <v>46</v>
      </c>
      <c r="E15" t="s">
        <v>53</v>
      </c>
    </row>
    <row r="16" spans="1:5" x14ac:dyDescent="0.25">
      <c r="B16" s="7" t="s">
        <v>18</v>
      </c>
      <c r="C16" s="9">
        <v>42</v>
      </c>
      <c r="D16" s="9">
        <v>121000</v>
      </c>
      <c r="E16" s="9">
        <v>31200</v>
      </c>
    </row>
    <row r="17" spans="2:5" x14ac:dyDescent="0.25">
      <c r="B17" s="7" t="s">
        <v>10</v>
      </c>
      <c r="C17" s="9">
        <v>37</v>
      </c>
      <c r="D17" s="9">
        <v>65600</v>
      </c>
      <c r="E17" s="9">
        <v>10900</v>
      </c>
    </row>
    <row r="18" spans="2:5" x14ac:dyDescent="0.25">
      <c r="B18" s="7" t="s">
        <v>26</v>
      </c>
      <c r="C18" s="9">
        <v>44</v>
      </c>
      <c r="D18" s="9">
        <v>74300</v>
      </c>
      <c r="E18" s="9">
        <v>15200</v>
      </c>
    </row>
    <row r="19" spans="2:5" x14ac:dyDescent="0.25">
      <c r="B19" s="7" t="s">
        <v>24</v>
      </c>
      <c r="C19" s="9">
        <v>41</v>
      </c>
      <c r="D19" s="9">
        <v>94900</v>
      </c>
      <c r="E19" s="9">
        <v>34300</v>
      </c>
    </row>
    <row r="20" spans="2:5" x14ac:dyDescent="0.25">
      <c r="B20" s="7" t="s">
        <v>21</v>
      </c>
      <c r="C20" s="9">
        <v>28</v>
      </c>
      <c r="D20" s="9">
        <v>144300</v>
      </c>
      <c r="E20" s="9">
        <v>69500</v>
      </c>
    </row>
    <row r="21" spans="2:5" x14ac:dyDescent="0.25">
      <c r="B21" s="7" t="s">
        <v>14</v>
      </c>
      <c r="C21" s="9">
        <v>27</v>
      </c>
      <c r="D21" s="9">
        <v>112400</v>
      </c>
      <c r="E21" s="9">
        <v>39400</v>
      </c>
    </row>
    <row r="22" spans="2:5" x14ac:dyDescent="0.25">
      <c r="B22" s="7" t="s">
        <v>28</v>
      </c>
      <c r="C22" s="9">
        <v>23</v>
      </c>
      <c r="D22" s="9">
        <v>96900</v>
      </c>
      <c r="E22" s="9">
        <v>28300</v>
      </c>
    </row>
    <row r="23" spans="2:5" x14ac:dyDescent="0.25">
      <c r="B23" s="7" t="s">
        <v>30</v>
      </c>
      <c r="C23" s="9">
        <v>16</v>
      </c>
      <c r="D23" s="9">
        <v>298600</v>
      </c>
      <c r="E23" s="9">
        <v>179900</v>
      </c>
    </row>
    <row r="24" spans="2:5" x14ac:dyDescent="0.25">
      <c r="B24" s="7" t="s">
        <v>50</v>
      </c>
      <c r="C24" s="9">
        <v>258</v>
      </c>
      <c r="D24" s="9">
        <v>1008000</v>
      </c>
      <c r="E24" s="9">
        <v>408700</v>
      </c>
    </row>
  </sheetData>
  <pageMargins left="0.75" right="0.75" top="1" bottom="1" header="0.5" footer="0.5"/>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B605A-2791-4C19-AAE0-5B12A6F6C778}">
  <dimension ref="A1:C5"/>
  <sheetViews>
    <sheetView showGridLines="0" tabSelected="1" zoomScale="85" zoomScaleNormal="85" workbookViewId="0">
      <selection activeCell="AB25" sqref="AB25"/>
    </sheetView>
  </sheetViews>
  <sheetFormatPr defaultRowHeight="15" x14ac:dyDescent="0.25"/>
  <sheetData>
    <row r="1" spans="1:3" x14ac:dyDescent="0.25">
      <c r="A1" s="8"/>
      <c r="B1" s="8"/>
      <c r="C1" s="8"/>
    </row>
    <row r="2" spans="1:3" x14ac:dyDescent="0.25">
      <c r="A2" s="8"/>
      <c r="B2" s="8"/>
      <c r="C2" s="8"/>
    </row>
    <row r="3" spans="1:3" x14ac:dyDescent="0.25">
      <c r="A3" s="8"/>
      <c r="B3" s="8"/>
      <c r="C3" s="8"/>
    </row>
    <row r="4" spans="1:3" x14ac:dyDescent="0.25">
      <c r="A4" s="8"/>
      <c r="B4" s="8"/>
      <c r="C4" s="8"/>
    </row>
    <row r="5" spans="1:3" x14ac:dyDescent="0.25">
      <c r="A5" s="8"/>
      <c r="B5" s="8"/>
      <c r="C5" s="8"/>
    </row>
  </sheetData>
  <mergeCells count="1">
    <mergeCell ref="A1:C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Cleaned_Data</vt:lpstr>
      <vt:lpstr>Pivot_Region</vt:lpstr>
      <vt:lpstr>Pivot_Category</vt:lpstr>
      <vt:lpstr>Pivot_Category_Region</vt:lpstr>
      <vt:lpstr>Pivot_Salesperson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MIAN MUSE</cp:lastModifiedBy>
  <dcterms:created xsi:type="dcterms:W3CDTF">2026-03-05T06:16:23Z</dcterms:created>
  <dcterms:modified xsi:type="dcterms:W3CDTF">2026-03-05T12:26:08Z</dcterms:modified>
</cp:coreProperties>
</file>